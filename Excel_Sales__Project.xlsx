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anish\Downloads\"/>
    </mc:Choice>
  </mc:AlternateContent>
  <xr:revisionPtr revIDLastSave="0" documentId="8_{D0002606-DBA4-4B73-8E48-34DDFC20A6A4}" xr6:coauthVersionLast="47" xr6:coauthVersionMax="47" xr10:uidLastSave="{00000000-0000-0000-0000-000000000000}"/>
  <bookViews>
    <workbookView xWindow="-110" yWindow="-110" windowWidth="19420" windowHeight="10300" activeTab="2" xr2:uid="{00000000-000D-0000-FFFF-FFFF00000000}"/>
  </bookViews>
  <sheets>
    <sheet name="Sales_Data" sheetId="1" r:id="rId1"/>
    <sheet name="Pivot_Summary" sheetId="2" r:id="rId2"/>
    <sheet name="Dashboard" sheetId="4" r:id="rId3"/>
  </sheets>
  <definedNames>
    <definedName name="Slicer_Category">#N/A</definedName>
  </definedNames>
  <calcPr calcId="191029"/>
  <pivotCaches>
    <pivotCache cacheId="22"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calcChain.xml><?xml version="1.0" encoding="utf-8"?>
<calcChain xmlns="http://schemas.openxmlformats.org/spreadsheetml/2006/main">
  <c r="A5" i="4" l="1"/>
  <c r="C5" i="4"/>
</calcChain>
</file>

<file path=xl/sharedStrings.xml><?xml version="1.0" encoding="utf-8"?>
<sst xmlns="http://schemas.openxmlformats.org/spreadsheetml/2006/main" count="3717" uniqueCount="715">
  <si>
    <t>Date</t>
  </si>
  <si>
    <t>Order ID</t>
  </si>
  <si>
    <t>Employee Name</t>
  </si>
  <si>
    <t>Department</t>
  </si>
  <si>
    <t>Product</t>
  </si>
  <si>
    <t>Category</t>
  </si>
  <si>
    <t>Quantity</t>
  </si>
  <si>
    <t>Unit Price</t>
  </si>
  <si>
    <t>Region</t>
  </si>
  <si>
    <t>Total Sales</t>
  </si>
  <si>
    <t>2025-06-26</t>
  </si>
  <si>
    <t>ORD0001</t>
  </si>
  <si>
    <t>Amit Sharma</t>
  </si>
  <si>
    <t>Electronics</t>
  </si>
  <si>
    <t>Laptop</t>
  </si>
  <si>
    <t>West</t>
  </si>
  <si>
    <t>2025-04-03</t>
  </si>
  <si>
    <t>ORD0002</t>
  </si>
  <si>
    <t>Arjun Mehta</t>
  </si>
  <si>
    <t>Home Appliances</t>
  </si>
  <si>
    <t>Refrigerator</t>
  </si>
  <si>
    <t>East</t>
  </si>
  <si>
    <t>2025-05-18</t>
  </si>
  <si>
    <t>ORD0003</t>
  </si>
  <si>
    <t>Clothing</t>
  </si>
  <si>
    <t>T-Shirt</t>
  </si>
  <si>
    <t>2025-03-08</t>
  </si>
  <si>
    <t>ORD0004</t>
  </si>
  <si>
    <t>Sneha Iyer</t>
  </si>
  <si>
    <t>Mobile</t>
  </si>
  <si>
    <t>South</t>
  </si>
  <si>
    <t>2025-05-04</t>
  </si>
  <si>
    <t>ORD0005</t>
  </si>
  <si>
    <t>2025-05-23</t>
  </si>
  <si>
    <t>ORD0006</t>
  </si>
  <si>
    <t>Rohit Singh</t>
  </si>
  <si>
    <t>Microwave</t>
  </si>
  <si>
    <t>2025-06-19</t>
  </si>
  <si>
    <t>ORD0007</t>
  </si>
  <si>
    <t>2025-02-23</t>
  </si>
  <si>
    <t>ORD0008</t>
  </si>
  <si>
    <t>North</t>
  </si>
  <si>
    <t>2025-03-19</t>
  </si>
  <si>
    <t>ORD0009</t>
  </si>
  <si>
    <t>2025-06-01</t>
  </si>
  <si>
    <t>ORD0010</t>
  </si>
  <si>
    <t>2025-05-19</t>
  </si>
  <si>
    <t>ORD0011</t>
  </si>
  <si>
    <t>2025-01-26</t>
  </si>
  <si>
    <t>ORD0012</t>
  </si>
  <si>
    <t>2025-01-18</t>
  </si>
  <si>
    <t>ORD0013</t>
  </si>
  <si>
    <t>2025-05-31</t>
  </si>
  <si>
    <t>ORD0014</t>
  </si>
  <si>
    <t>2025-06-30</t>
  </si>
  <si>
    <t>ORD0015</t>
  </si>
  <si>
    <t>Priya Verma</t>
  </si>
  <si>
    <t>2025-04-17</t>
  </si>
  <si>
    <t>ORD0016</t>
  </si>
  <si>
    <t>Sports</t>
  </si>
  <si>
    <t>Football</t>
  </si>
  <si>
    <t>2025-01-31</t>
  </si>
  <si>
    <t>ORD0017</t>
  </si>
  <si>
    <t>2025-04-16</t>
  </si>
  <si>
    <t>ORD0018</t>
  </si>
  <si>
    <t>2025-03-31</t>
  </si>
  <si>
    <t>ORD0019</t>
  </si>
  <si>
    <t>2025-02-20</t>
  </si>
  <si>
    <t>ORD0020</t>
  </si>
  <si>
    <t>2025-03-23</t>
  </si>
  <si>
    <t>ORD0021</t>
  </si>
  <si>
    <t>Neha Kapoor</t>
  </si>
  <si>
    <t>ORD0022</t>
  </si>
  <si>
    <t>2025-04-25</t>
  </si>
  <si>
    <t>ORD0023</t>
  </si>
  <si>
    <t>2025-06-04</t>
  </si>
  <si>
    <t>ORD0024</t>
  </si>
  <si>
    <t>2025-01-30</t>
  </si>
  <si>
    <t>ORD0025</t>
  </si>
  <si>
    <t>2025-03-13</t>
  </si>
  <si>
    <t>ORD0026</t>
  </si>
  <si>
    <t>ORD0027</t>
  </si>
  <si>
    <t>ORD0028</t>
  </si>
  <si>
    <t>2025-06-16</t>
  </si>
  <si>
    <t>ORD0029</t>
  </si>
  <si>
    <t>2025-01-22</t>
  </si>
  <si>
    <t>ORD0030</t>
  </si>
  <si>
    <t>2025-04-20</t>
  </si>
  <si>
    <t>ORD0031</t>
  </si>
  <si>
    <t>2025-02-16</t>
  </si>
  <si>
    <t>ORD0032</t>
  </si>
  <si>
    <t>2025-04-24</t>
  </si>
  <si>
    <t>ORD0033</t>
  </si>
  <si>
    <t>2025-05-28</t>
  </si>
  <si>
    <t>ORD0034</t>
  </si>
  <si>
    <t>2025-03-07</t>
  </si>
  <si>
    <t>ORD0035</t>
  </si>
  <si>
    <t>ORD0036</t>
  </si>
  <si>
    <t>2025-01-04</t>
  </si>
  <si>
    <t>ORD0037</t>
  </si>
  <si>
    <t>2025-03-01</t>
  </si>
  <si>
    <t>ORD0038</t>
  </si>
  <si>
    <t>2025-05-02</t>
  </si>
  <si>
    <t>ORD0039</t>
  </si>
  <si>
    <t>ORD0040</t>
  </si>
  <si>
    <t>2025-01-23</t>
  </si>
  <si>
    <t>ORD0041</t>
  </si>
  <si>
    <t>ORD0042</t>
  </si>
  <si>
    <t>2025-02-11</t>
  </si>
  <si>
    <t>ORD0043</t>
  </si>
  <si>
    <t>2025-05-24</t>
  </si>
  <si>
    <t>ORD0044</t>
  </si>
  <si>
    <t>2025-02-04</t>
  </si>
  <si>
    <t>ORD0045</t>
  </si>
  <si>
    <t>ORD0046</t>
  </si>
  <si>
    <t>2025-01-16</t>
  </si>
  <si>
    <t>ORD0047</t>
  </si>
  <si>
    <t>2025-06-21</t>
  </si>
  <si>
    <t>ORD0048</t>
  </si>
  <si>
    <t>ORD0049</t>
  </si>
  <si>
    <t>2025-02-19</t>
  </si>
  <si>
    <t>ORD0050</t>
  </si>
  <si>
    <t>2025-05-30</t>
  </si>
  <si>
    <t>ORD0051</t>
  </si>
  <si>
    <t>2025-06-24</t>
  </si>
  <si>
    <t>ORD0052</t>
  </si>
  <si>
    <t>2025-02-28</t>
  </si>
  <si>
    <t>ORD0053</t>
  </si>
  <si>
    <t>2025-03-17</t>
  </si>
  <si>
    <t>ORD0054</t>
  </si>
  <si>
    <t>ORD0055</t>
  </si>
  <si>
    <t>2025-01-06</t>
  </si>
  <si>
    <t>ORD0056</t>
  </si>
  <si>
    <t>2025-05-07</t>
  </si>
  <si>
    <t>ORD0057</t>
  </si>
  <si>
    <t>ORD0058</t>
  </si>
  <si>
    <t>2025-03-20</t>
  </si>
  <si>
    <t>ORD0059</t>
  </si>
  <si>
    <t>ORD0060</t>
  </si>
  <si>
    <t>ORD0061</t>
  </si>
  <si>
    <t>2025-02-10</t>
  </si>
  <si>
    <t>ORD0062</t>
  </si>
  <si>
    <t>ORD0063</t>
  </si>
  <si>
    <t>ORD0064</t>
  </si>
  <si>
    <t>2025-06-13</t>
  </si>
  <si>
    <t>ORD0065</t>
  </si>
  <si>
    <t>2025-05-11</t>
  </si>
  <si>
    <t>ORD0066</t>
  </si>
  <si>
    <t>2025-01-09</t>
  </si>
  <si>
    <t>ORD0067</t>
  </si>
  <si>
    <t>2025-06-02</t>
  </si>
  <si>
    <t>ORD0068</t>
  </si>
  <si>
    <t>ORD0069</t>
  </si>
  <si>
    <t>ORD0070</t>
  </si>
  <si>
    <t>ORD0071</t>
  </si>
  <si>
    <t>2025-02-03</t>
  </si>
  <si>
    <t>ORD0072</t>
  </si>
  <si>
    <t>2025-06-12</t>
  </si>
  <si>
    <t>ORD0073</t>
  </si>
  <si>
    <t>ORD0074</t>
  </si>
  <si>
    <t>2025-01-20</t>
  </si>
  <si>
    <t>ORD0075</t>
  </si>
  <si>
    <t>2025-01-11</t>
  </si>
  <si>
    <t>ORD0076</t>
  </si>
  <si>
    <t>2025-06-11</t>
  </si>
  <si>
    <t>ORD0077</t>
  </si>
  <si>
    <t>2025-05-14</t>
  </si>
  <si>
    <t>ORD0078</t>
  </si>
  <si>
    <t>2025-01-10</t>
  </si>
  <si>
    <t>ORD0079</t>
  </si>
  <si>
    <t>2025-04-04</t>
  </si>
  <si>
    <t>ORD0080</t>
  </si>
  <si>
    <t>2025-04-23</t>
  </si>
  <si>
    <t>ORD0081</t>
  </si>
  <si>
    <t>ORD0082</t>
  </si>
  <si>
    <t>2025-05-17</t>
  </si>
  <si>
    <t>ORD0083</t>
  </si>
  <si>
    <t>ORD0084</t>
  </si>
  <si>
    <t>ORD0085</t>
  </si>
  <si>
    <t>2025-04-09</t>
  </si>
  <si>
    <t>ORD0086</t>
  </si>
  <si>
    <t>2025-04-28</t>
  </si>
  <si>
    <t>ORD0087</t>
  </si>
  <si>
    <t>2025-06-09</t>
  </si>
  <si>
    <t>ORD0088</t>
  </si>
  <si>
    <t>ORD0089</t>
  </si>
  <si>
    <t>ORD0090</t>
  </si>
  <si>
    <t>ORD0091</t>
  </si>
  <si>
    <t>2025-05-20</t>
  </si>
  <si>
    <t>ORD0092</t>
  </si>
  <si>
    <t>2025-01-15</t>
  </si>
  <si>
    <t>ORD0093</t>
  </si>
  <si>
    <t>2025-03-03</t>
  </si>
  <si>
    <t>ORD0094</t>
  </si>
  <si>
    <t>2025-05-21</t>
  </si>
  <si>
    <t>ORD0095</t>
  </si>
  <si>
    <t>2025-04-27</t>
  </si>
  <si>
    <t>ORD0096</t>
  </si>
  <si>
    <t>ORD0097</t>
  </si>
  <si>
    <t>2025-03-30</t>
  </si>
  <si>
    <t>ORD0098</t>
  </si>
  <si>
    <t>2025-05-13</t>
  </si>
  <si>
    <t>ORD0099</t>
  </si>
  <si>
    <t>2025-03-12</t>
  </si>
  <si>
    <t>ORD0100</t>
  </si>
  <si>
    <t>ORD0101</t>
  </si>
  <si>
    <t>ORD0102</t>
  </si>
  <si>
    <t>ORD0103</t>
  </si>
  <si>
    <t>ORD0104</t>
  </si>
  <si>
    <t>ORD0105</t>
  </si>
  <si>
    <t>2025-04-21</t>
  </si>
  <si>
    <t>ORD0106</t>
  </si>
  <si>
    <t>2025-04-26</t>
  </si>
  <si>
    <t>ORD0107</t>
  </si>
  <si>
    <t>ORD0108</t>
  </si>
  <si>
    <t>2025-06-03</t>
  </si>
  <si>
    <t>ORD0109</t>
  </si>
  <si>
    <t>ORD0110</t>
  </si>
  <si>
    <t>2025-06-18</t>
  </si>
  <si>
    <t>ORD0111</t>
  </si>
  <si>
    <t>ORD0112</t>
  </si>
  <si>
    <t>2025-02-22</t>
  </si>
  <si>
    <t>ORD0113</t>
  </si>
  <si>
    <t>2025-04-12</t>
  </si>
  <si>
    <t>ORD0114</t>
  </si>
  <si>
    <t>ORD0115</t>
  </si>
  <si>
    <t>2025-04-07</t>
  </si>
  <si>
    <t>ORD0116</t>
  </si>
  <si>
    <t>ORD0117</t>
  </si>
  <si>
    <t>ORD0118</t>
  </si>
  <si>
    <t>ORD0119</t>
  </si>
  <si>
    <t>2025-03-05</t>
  </si>
  <si>
    <t>ORD0120</t>
  </si>
  <si>
    <t>ORD0121</t>
  </si>
  <si>
    <t>2025-02-15</t>
  </si>
  <si>
    <t>ORD0122</t>
  </si>
  <si>
    <t>2025-02-12</t>
  </si>
  <si>
    <t>ORD0123</t>
  </si>
  <si>
    <t>2025-04-13</t>
  </si>
  <si>
    <t>ORD0124</t>
  </si>
  <si>
    <t>2025-03-11</t>
  </si>
  <si>
    <t>ORD0125</t>
  </si>
  <si>
    <t>2025-04-19</t>
  </si>
  <si>
    <t>ORD0126</t>
  </si>
  <si>
    <t>ORD0127</t>
  </si>
  <si>
    <t>2025-02-24</t>
  </si>
  <si>
    <t>ORD0128</t>
  </si>
  <si>
    <t>ORD0129</t>
  </si>
  <si>
    <t>2025-04-10</t>
  </si>
  <si>
    <t>ORD0130</t>
  </si>
  <si>
    <t>2025-06-08</t>
  </si>
  <si>
    <t>ORD0131</t>
  </si>
  <si>
    <t>2025-03-18</t>
  </si>
  <si>
    <t>ORD0132</t>
  </si>
  <si>
    <t>2025-01-25</t>
  </si>
  <si>
    <t>ORD0133</t>
  </si>
  <si>
    <t>ORD0134</t>
  </si>
  <si>
    <t>2025-03-21</t>
  </si>
  <si>
    <t>ORD0135</t>
  </si>
  <si>
    <t>2025-02-09</t>
  </si>
  <si>
    <t>ORD0136</t>
  </si>
  <si>
    <t>ORD0137</t>
  </si>
  <si>
    <t>ORD0138</t>
  </si>
  <si>
    <t>ORD0139</t>
  </si>
  <si>
    <t>ORD0140</t>
  </si>
  <si>
    <t>2025-05-09</t>
  </si>
  <si>
    <t>ORD0141</t>
  </si>
  <si>
    <t>ORD0142</t>
  </si>
  <si>
    <t>ORD0143</t>
  </si>
  <si>
    <t>ORD0144</t>
  </si>
  <si>
    <t>2025-05-05</t>
  </si>
  <si>
    <t>ORD0145</t>
  </si>
  <si>
    <t>2025-04-15</t>
  </si>
  <si>
    <t>ORD0146</t>
  </si>
  <si>
    <t>ORD0147</t>
  </si>
  <si>
    <t>2025-02-25</t>
  </si>
  <si>
    <t>ORD0148</t>
  </si>
  <si>
    <t>ORD0149</t>
  </si>
  <si>
    <t>ORD0150</t>
  </si>
  <si>
    <t>ORD0151</t>
  </si>
  <si>
    <t>2025-03-26</t>
  </si>
  <si>
    <t>ORD0152</t>
  </si>
  <si>
    <t>2025-02-21</t>
  </si>
  <si>
    <t>ORD0153</t>
  </si>
  <si>
    <t>2025-04-01</t>
  </si>
  <si>
    <t>ORD0154</t>
  </si>
  <si>
    <t>ORD0155</t>
  </si>
  <si>
    <t>ORD0156</t>
  </si>
  <si>
    <t>2025-03-29</t>
  </si>
  <si>
    <t>ORD0157</t>
  </si>
  <si>
    <t>2025-06-05</t>
  </si>
  <si>
    <t>ORD0158</t>
  </si>
  <si>
    <t>2025-01-01</t>
  </si>
  <si>
    <t>ORD0159</t>
  </si>
  <si>
    <t>2025-04-29</t>
  </si>
  <si>
    <t>ORD0160</t>
  </si>
  <si>
    <t>ORD0161</t>
  </si>
  <si>
    <t>ORD0162</t>
  </si>
  <si>
    <t>ORD0163</t>
  </si>
  <si>
    <t>2025-03-24</t>
  </si>
  <si>
    <t>ORD0164</t>
  </si>
  <si>
    <t>2025-01-02</t>
  </si>
  <si>
    <t>ORD0165</t>
  </si>
  <si>
    <t>ORD0166</t>
  </si>
  <si>
    <t>ORD0167</t>
  </si>
  <si>
    <t>2025-05-26</t>
  </si>
  <si>
    <t>ORD0168</t>
  </si>
  <si>
    <t>ORD0169</t>
  </si>
  <si>
    <t>ORD0170</t>
  </si>
  <si>
    <t>ORD0171</t>
  </si>
  <si>
    <t>2025-01-12</t>
  </si>
  <si>
    <t>ORD0172</t>
  </si>
  <si>
    <t>ORD0173</t>
  </si>
  <si>
    <t>2025-03-16</t>
  </si>
  <si>
    <t>ORD0174</t>
  </si>
  <si>
    <t>2025-02-05</t>
  </si>
  <si>
    <t>ORD0175</t>
  </si>
  <si>
    <t>ORD0176</t>
  </si>
  <si>
    <t>2025-03-04</t>
  </si>
  <si>
    <t>ORD0177</t>
  </si>
  <si>
    <t>2025-06-17</t>
  </si>
  <si>
    <t>ORD0178</t>
  </si>
  <si>
    <t>ORD0179</t>
  </si>
  <si>
    <t>2025-06-29</t>
  </si>
  <si>
    <t>ORD0180</t>
  </si>
  <si>
    <t>2025-03-14</t>
  </si>
  <si>
    <t>ORD0181</t>
  </si>
  <si>
    <t>ORD0182</t>
  </si>
  <si>
    <t>2025-04-22</t>
  </si>
  <si>
    <t>ORD0183</t>
  </si>
  <si>
    <t>2025-01-13</t>
  </si>
  <si>
    <t>ORD0184</t>
  </si>
  <si>
    <t>ORD0185</t>
  </si>
  <si>
    <t>2025-06-15</t>
  </si>
  <si>
    <t>ORD0186</t>
  </si>
  <si>
    <t>2025-01-21</t>
  </si>
  <si>
    <t>ORD0187</t>
  </si>
  <si>
    <t>ORD0188</t>
  </si>
  <si>
    <t>2025-04-05</t>
  </si>
  <si>
    <t>ORD0189</t>
  </si>
  <si>
    <t>2025-06-10</t>
  </si>
  <si>
    <t>ORD0190</t>
  </si>
  <si>
    <t>ORD0191</t>
  </si>
  <si>
    <t>ORD0192</t>
  </si>
  <si>
    <t>ORD0193</t>
  </si>
  <si>
    <t>2025-06-06</t>
  </si>
  <si>
    <t>ORD0194</t>
  </si>
  <si>
    <t>2025-01-28</t>
  </si>
  <si>
    <t>ORD0195</t>
  </si>
  <si>
    <t>ORD0196</t>
  </si>
  <si>
    <t>ORD0197</t>
  </si>
  <si>
    <t>2025-01-05</t>
  </si>
  <si>
    <t>ORD0198</t>
  </si>
  <si>
    <t>ORD0199</t>
  </si>
  <si>
    <t>2025-05-25</t>
  </si>
  <si>
    <t>ORD0200</t>
  </si>
  <si>
    <t>ORD0201</t>
  </si>
  <si>
    <t>ORD0202</t>
  </si>
  <si>
    <t>ORD0203</t>
  </si>
  <si>
    <t>ORD0204</t>
  </si>
  <si>
    <t>ORD0205</t>
  </si>
  <si>
    <t>ORD0206</t>
  </si>
  <si>
    <t>ORD0207</t>
  </si>
  <si>
    <t>2025-02-27</t>
  </si>
  <si>
    <t>ORD0208</t>
  </si>
  <si>
    <t>ORD0209</t>
  </si>
  <si>
    <t>ORD0210</t>
  </si>
  <si>
    <t>2025-04-02</t>
  </si>
  <si>
    <t>ORD0211</t>
  </si>
  <si>
    <t>ORD0212</t>
  </si>
  <si>
    <t>2025-04-08</t>
  </si>
  <si>
    <t>ORD0213</t>
  </si>
  <si>
    <t>2025-05-08</t>
  </si>
  <si>
    <t>ORD0214</t>
  </si>
  <si>
    <t>ORD0215</t>
  </si>
  <si>
    <t>2025-06-23</t>
  </si>
  <si>
    <t>ORD0216</t>
  </si>
  <si>
    <t>ORD0217</t>
  </si>
  <si>
    <t>ORD0218</t>
  </si>
  <si>
    <t>ORD0219</t>
  </si>
  <si>
    <t>ORD0220</t>
  </si>
  <si>
    <t>ORD0221</t>
  </si>
  <si>
    <t>ORD0222</t>
  </si>
  <si>
    <t>2025-03-06</t>
  </si>
  <si>
    <t>ORD0223</t>
  </si>
  <si>
    <t>ORD0224</t>
  </si>
  <si>
    <t>ORD0225</t>
  </si>
  <si>
    <t>2025-01-03</t>
  </si>
  <si>
    <t>ORD0226</t>
  </si>
  <si>
    <t>ORD0227</t>
  </si>
  <si>
    <t>2025-04-11</t>
  </si>
  <si>
    <t>ORD0228</t>
  </si>
  <si>
    <t>ORD0229</t>
  </si>
  <si>
    <t>2025-03-28</t>
  </si>
  <si>
    <t>ORD0230</t>
  </si>
  <si>
    <t>ORD0231</t>
  </si>
  <si>
    <t>ORD0232</t>
  </si>
  <si>
    <t>ORD0233</t>
  </si>
  <si>
    <t>ORD0234</t>
  </si>
  <si>
    <t>2025-06-25</t>
  </si>
  <si>
    <t>ORD0235</t>
  </si>
  <si>
    <t>ORD0236</t>
  </si>
  <si>
    <t>ORD0237</t>
  </si>
  <si>
    <t>2025-03-25</t>
  </si>
  <si>
    <t>ORD0238</t>
  </si>
  <si>
    <t>2025-01-19</t>
  </si>
  <si>
    <t>ORD0239</t>
  </si>
  <si>
    <t>2025-01-08</t>
  </si>
  <si>
    <t>ORD0240</t>
  </si>
  <si>
    <t>ORD0241</t>
  </si>
  <si>
    <t>ORD0242</t>
  </si>
  <si>
    <t>2025-06-14</t>
  </si>
  <si>
    <t>ORD0243</t>
  </si>
  <si>
    <t>ORD0244</t>
  </si>
  <si>
    <t>ORD0245</t>
  </si>
  <si>
    <t>ORD0246</t>
  </si>
  <si>
    <t>ORD0247</t>
  </si>
  <si>
    <t>ORD0248</t>
  </si>
  <si>
    <t>ORD0249</t>
  </si>
  <si>
    <t>ORD0250</t>
  </si>
  <si>
    <t>ORD0251</t>
  </si>
  <si>
    <t>ORD0252</t>
  </si>
  <si>
    <t>ORD0253</t>
  </si>
  <si>
    <t>2025-03-10</t>
  </si>
  <si>
    <t>ORD0254</t>
  </si>
  <si>
    <t>ORD0255</t>
  </si>
  <si>
    <t>ORD0256</t>
  </si>
  <si>
    <t>ORD0257</t>
  </si>
  <si>
    <t>ORD0258</t>
  </si>
  <si>
    <t>ORD0259</t>
  </si>
  <si>
    <t>ORD0260</t>
  </si>
  <si>
    <t>ORD0261</t>
  </si>
  <si>
    <t>ORD0262</t>
  </si>
  <si>
    <t>ORD0263</t>
  </si>
  <si>
    <t>2025-02-02</t>
  </si>
  <si>
    <t>ORD0264</t>
  </si>
  <si>
    <t>ORD0265</t>
  </si>
  <si>
    <t>ORD0266</t>
  </si>
  <si>
    <t>ORD0267</t>
  </si>
  <si>
    <t>ORD0268</t>
  </si>
  <si>
    <t>ORD0269</t>
  </si>
  <si>
    <t>2025-03-22</t>
  </si>
  <si>
    <t>ORD0270</t>
  </si>
  <si>
    <t>ORD0271</t>
  </si>
  <si>
    <t>2025-04-06</t>
  </si>
  <si>
    <t>ORD0272</t>
  </si>
  <si>
    <t>ORD0273</t>
  </si>
  <si>
    <t>ORD0274</t>
  </si>
  <si>
    <t>2025-05-22</t>
  </si>
  <si>
    <t>ORD0275</t>
  </si>
  <si>
    <t>ORD0276</t>
  </si>
  <si>
    <t>2025-06-20</t>
  </si>
  <si>
    <t>ORD0277</t>
  </si>
  <si>
    <t>ORD0278</t>
  </si>
  <si>
    <t>ORD0279</t>
  </si>
  <si>
    <t>ORD0280</t>
  </si>
  <si>
    <t>ORD0281</t>
  </si>
  <si>
    <t>ORD0282</t>
  </si>
  <si>
    <t>ORD0283</t>
  </si>
  <si>
    <t>2025-05-10</t>
  </si>
  <si>
    <t>ORD0284</t>
  </si>
  <si>
    <t>2025-01-17</t>
  </si>
  <si>
    <t>ORD0285</t>
  </si>
  <si>
    <t>ORD0286</t>
  </si>
  <si>
    <t>ORD0287</t>
  </si>
  <si>
    <t>ORD0288</t>
  </si>
  <si>
    <t>ORD0289</t>
  </si>
  <si>
    <t>2025-01-27</t>
  </si>
  <si>
    <t>ORD0290</t>
  </si>
  <si>
    <t>2025-03-15</t>
  </si>
  <si>
    <t>ORD0291</t>
  </si>
  <si>
    <t>ORD0292</t>
  </si>
  <si>
    <t>ORD0293</t>
  </si>
  <si>
    <t>ORD0294</t>
  </si>
  <si>
    <t>ORD0295</t>
  </si>
  <si>
    <t>ORD0296</t>
  </si>
  <si>
    <t>ORD0297</t>
  </si>
  <si>
    <t>ORD0298</t>
  </si>
  <si>
    <t>ORD0299</t>
  </si>
  <si>
    <t>2025-01-07</t>
  </si>
  <si>
    <t>ORD0300</t>
  </si>
  <si>
    <t>ORD0301</t>
  </si>
  <si>
    <t>ORD0302</t>
  </si>
  <si>
    <t>ORD0303</t>
  </si>
  <si>
    <t>ORD0304</t>
  </si>
  <si>
    <t>2025-05-06</t>
  </si>
  <si>
    <t>ORD0305</t>
  </si>
  <si>
    <t>ORD0306</t>
  </si>
  <si>
    <t>ORD0307</t>
  </si>
  <si>
    <t>ORD0308</t>
  </si>
  <si>
    <t>2025-06-27</t>
  </si>
  <si>
    <t>ORD0309</t>
  </si>
  <si>
    <t>ORD0310</t>
  </si>
  <si>
    <t>ORD0311</t>
  </si>
  <si>
    <t>ORD0312</t>
  </si>
  <si>
    <t>ORD0313</t>
  </si>
  <si>
    <t>ORD0314</t>
  </si>
  <si>
    <t>ORD0315</t>
  </si>
  <si>
    <t>ORD0316</t>
  </si>
  <si>
    <t>ORD0317</t>
  </si>
  <si>
    <t>ORD0318</t>
  </si>
  <si>
    <t>ORD0319</t>
  </si>
  <si>
    <t>ORD0320</t>
  </si>
  <si>
    <t>ORD0321</t>
  </si>
  <si>
    <t>ORD0322</t>
  </si>
  <si>
    <t>ORD0323</t>
  </si>
  <si>
    <t>ORD0324</t>
  </si>
  <si>
    <t>ORD0325</t>
  </si>
  <si>
    <t>ORD0326</t>
  </si>
  <si>
    <t>ORD0327</t>
  </si>
  <si>
    <t>ORD0328</t>
  </si>
  <si>
    <t>2025-06-28</t>
  </si>
  <si>
    <t>ORD0329</t>
  </si>
  <si>
    <t>ORD0330</t>
  </si>
  <si>
    <t>ORD0331</t>
  </si>
  <si>
    <t>ORD0332</t>
  </si>
  <si>
    <t>ORD0333</t>
  </si>
  <si>
    <t>ORD0334</t>
  </si>
  <si>
    <t>ORD0335</t>
  </si>
  <si>
    <t>ORD0336</t>
  </si>
  <si>
    <t>ORD0337</t>
  </si>
  <si>
    <t>ORD0338</t>
  </si>
  <si>
    <t>ORD0339</t>
  </si>
  <si>
    <t>ORD0340</t>
  </si>
  <si>
    <t>2025-05-16</t>
  </si>
  <si>
    <t>ORD0341</t>
  </si>
  <si>
    <t>ORD0342</t>
  </si>
  <si>
    <t>ORD0343</t>
  </si>
  <si>
    <t>ORD0344</t>
  </si>
  <si>
    <t>ORD0345</t>
  </si>
  <si>
    <t>ORD0346</t>
  </si>
  <si>
    <t>ORD0347</t>
  </si>
  <si>
    <t>ORD0348</t>
  </si>
  <si>
    <t>ORD0349</t>
  </si>
  <si>
    <t>ORD0350</t>
  </si>
  <si>
    <t>ORD0351</t>
  </si>
  <si>
    <t>2025-03-02</t>
  </si>
  <si>
    <t>ORD0352</t>
  </si>
  <si>
    <t>2025-02-18</t>
  </si>
  <si>
    <t>ORD0353</t>
  </si>
  <si>
    <t>ORD0354</t>
  </si>
  <si>
    <t>2025-02-26</t>
  </si>
  <si>
    <t>ORD0355</t>
  </si>
  <si>
    <t>ORD0356</t>
  </si>
  <si>
    <t>ORD0357</t>
  </si>
  <si>
    <t>ORD0358</t>
  </si>
  <si>
    <t>ORD0359</t>
  </si>
  <si>
    <t>ORD0360</t>
  </si>
  <si>
    <t>ORD0361</t>
  </si>
  <si>
    <t>ORD0362</t>
  </si>
  <si>
    <t>ORD0363</t>
  </si>
  <si>
    <t>2025-04-14</t>
  </si>
  <si>
    <t>ORD0364</t>
  </si>
  <si>
    <t>ORD0365</t>
  </si>
  <si>
    <t>ORD0366</t>
  </si>
  <si>
    <t>ORD0367</t>
  </si>
  <si>
    <t>ORD0368</t>
  </si>
  <si>
    <t>ORD0369</t>
  </si>
  <si>
    <t>ORD0370</t>
  </si>
  <si>
    <t>ORD0371</t>
  </si>
  <si>
    <t>ORD0372</t>
  </si>
  <si>
    <t>2025-01-29</t>
  </si>
  <si>
    <t>ORD0373</t>
  </si>
  <si>
    <t>ORD0374</t>
  </si>
  <si>
    <t>ORD0375</t>
  </si>
  <si>
    <t>ORD0376</t>
  </si>
  <si>
    <t>ORD0377</t>
  </si>
  <si>
    <t>ORD0378</t>
  </si>
  <si>
    <t>ORD0379</t>
  </si>
  <si>
    <t>ORD0380</t>
  </si>
  <si>
    <t>ORD0381</t>
  </si>
  <si>
    <t>ORD0382</t>
  </si>
  <si>
    <t>ORD0383</t>
  </si>
  <si>
    <t>ORD0384</t>
  </si>
  <si>
    <t>ORD0385</t>
  </si>
  <si>
    <t>ORD0386</t>
  </si>
  <si>
    <t>ORD0387</t>
  </si>
  <si>
    <t>ORD0388</t>
  </si>
  <si>
    <t>ORD0389</t>
  </si>
  <si>
    <t>ORD0390</t>
  </si>
  <si>
    <t>ORD0391</t>
  </si>
  <si>
    <t>ORD0392</t>
  </si>
  <si>
    <t>ORD0393</t>
  </si>
  <si>
    <t>ORD0394</t>
  </si>
  <si>
    <t>ORD0395</t>
  </si>
  <si>
    <t>ORD0396</t>
  </si>
  <si>
    <t>ORD0397</t>
  </si>
  <si>
    <t>ORD0398</t>
  </si>
  <si>
    <t>ORD0399</t>
  </si>
  <si>
    <t>ORD0400</t>
  </si>
  <si>
    <t>ORD0401</t>
  </si>
  <si>
    <t>ORD0402</t>
  </si>
  <si>
    <t>ORD0403</t>
  </si>
  <si>
    <t>ORD0404</t>
  </si>
  <si>
    <t>ORD0405</t>
  </si>
  <si>
    <t>2025-05-15</t>
  </si>
  <si>
    <t>ORD0406</t>
  </si>
  <si>
    <t>ORD0407</t>
  </si>
  <si>
    <t>ORD0408</t>
  </si>
  <si>
    <t>ORD0409</t>
  </si>
  <si>
    <t>ORD0410</t>
  </si>
  <si>
    <t>ORD0411</t>
  </si>
  <si>
    <t>ORD0412</t>
  </si>
  <si>
    <t>ORD0413</t>
  </si>
  <si>
    <t>2025-06-07</t>
  </si>
  <si>
    <t>ORD0414</t>
  </si>
  <si>
    <t>ORD0415</t>
  </si>
  <si>
    <t>ORD0416</t>
  </si>
  <si>
    <t>ORD0417</t>
  </si>
  <si>
    <t>ORD0418</t>
  </si>
  <si>
    <t>ORD0419</t>
  </si>
  <si>
    <t>ORD0420</t>
  </si>
  <si>
    <t>2025-02-07</t>
  </si>
  <si>
    <t>ORD0421</t>
  </si>
  <si>
    <t>ORD0422</t>
  </si>
  <si>
    <t>ORD0423</t>
  </si>
  <si>
    <t>ORD0424</t>
  </si>
  <si>
    <t>ORD0425</t>
  </si>
  <si>
    <t>ORD0426</t>
  </si>
  <si>
    <t>ORD0427</t>
  </si>
  <si>
    <t>ORD0428</t>
  </si>
  <si>
    <t>ORD0429</t>
  </si>
  <si>
    <t>ORD0430</t>
  </si>
  <si>
    <t>2025-03-27</t>
  </si>
  <si>
    <t>ORD0431</t>
  </si>
  <si>
    <t>2025-02-06</t>
  </si>
  <si>
    <t>ORD0432</t>
  </si>
  <si>
    <t>ORD0433</t>
  </si>
  <si>
    <t>2025-02-17</t>
  </si>
  <si>
    <t>ORD0434</t>
  </si>
  <si>
    <t>ORD0435</t>
  </si>
  <si>
    <t>ORD0436</t>
  </si>
  <si>
    <t>ORD0437</t>
  </si>
  <si>
    <t>2025-05-03</t>
  </si>
  <si>
    <t>ORD0438</t>
  </si>
  <si>
    <t>ORD0439</t>
  </si>
  <si>
    <t>ORD0440</t>
  </si>
  <si>
    <t>ORD0441</t>
  </si>
  <si>
    <t>ORD0442</t>
  </si>
  <si>
    <t>ORD0443</t>
  </si>
  <si>
    <t>2025-02-08</t>
  </si>
  <si>
    <t>ORD0444</t>
  </si>
  <si>
    <t>ORD0445</t>
  </si>
  <si>
    <t>ORD0446</t>
  </si>
  <si>
    <t>ORD0447</t>
  </si>
  <si>
    <t>ORD0448</t>
  </si>
  <si>
    <t>ORD0449</t>
  </si>
  <si>
    <t>ORD0450</t>
  </si>
  <si>
    <t>ORD0451</t>
  </si>
  <si>
    <t>ORD0452</t>
  </si>
  <si>
    <t>ORD0453</t>
  </si>
  <si>
    <t>ORD0454</t>
  </si>
  <si>
    <t>2025-06-22</t>
  </si>
  <si>
    <t>ORD0455</t>
  </si>
  <si>
    <t>ORD0456</t>
  </si>
  <si>
    <t>ORD0457</t>
  </si>
  <si>
    <t>ORD0458</t>
  </si>
  <si>
    <t>ORD0459</t>
  </si>
  <si>
    <t>ORD0460</t>
  </si>
  <si>
    <t>ORD0461</t>
  </si>
  <si>
    <t>ORD0462</t>
  </si>
  <si>
    <t>ORD0463</t>
  </si>
  <si>
    <t>ORD0464</t>
  </si>
  <si>
    <t>2025-01-24</t>
  </si>
  <si>
    <t>ORD0465</t>
  </si>
  <si>
    <t>ORD0466</t>
  </si>
  <si>
    <t>ORD0467</t>
  </si>
  <si>
    <t>ORD0468</t>
  </si>
  <si>
    <t>ORD0469</t>
  </si>
  <si>
    <t>ORD0470</t>
  </si>
  <si>
    <t>2025-05-01</t>
  </si>
  <si>
    <t>ORD0471</t>
  </si>
  <si>
    <t>ORD0472</t>
  </si>
  <si>
    <t>ORD0473</t>
  </si>
  <si>
    <t>ORD0474</t>
  </si>
  <si>
    <t>ORD0475</t>
  </si>
  <si>
    <t>ORD0476</t>
  </si>
  <si>
    <t>ORD0477</t>
  </si>
  <si>
    <t>ORD0478</t>
  </si>
  <si>
    <t>ORD0479</t>
  </si>
  <si>
    <t>ORD0480</t>
  </si>
  <si>
    <t>ORD0481</t>
  </si>
  <si>
    <t>2025-02-01</t>
  </si>
  <si>
    <t>ORD0482</t>
  </si>
  <si>
    <t>ORD0483</t>
  </si>
  <si>
    <t>ORD0484</t>
  </si>
  <si>
    <t>ORD0485</t>
  </si>
  <si>
    <t>ORD0486</t>
  </si>
  <si>
    <t>ORD0487</t>
  </si>
  <si>
    <t>ORD0488</t>
  </si>
  <si>
    <t>ORD0489</t>
  </si>
  <si>
    <t>ORD0490</t>
  </si>
  <si>
    <t>ORD0491</t>
  </si>
  <si>
    <t>ORD0492</t>
  </si>
  <si>
    <t>ORD0493</t>
  </si>
  <si>
    <t>ORD0494</t>
  </si>
  <si>
    <t>2025-02-13</t>
  </si>
  <si>
    <t>ORD0495</t>
  </si>
  <si>
    <t>ORD0496</t>
  </si>
  <si>
    <t>ORD0497</t>
  </si>
  <si>
    <t>ORD0498</t>
  </si>
  <si>
    <t>ORD0499</t>
  </si>
  <si>
    <t>ORD0500</t>
  </si>
  <si>
    <t>Row Labels</t>
  </si>
  <si>
    <t>Grand Total</t>
  </si>
  <si>
    <t>Sum of Total Sales</t>
  </si>
  <si>
    <t>date</t>
  </si>
  <si>
    <t>Group1</t>
  </si>
  <si>
    <t>Revenue by Department</t>
  </si>
  <si>
    <t>Revenue by Region</t>
  </si>
  <si>
    <t>Monthly Sales Trend</t>
  </si>
  <si>
    <t>Top Employees</t>
  </si>
  <si>
    <t>Total Revenue</t>
  </si>
  <si>
    <t>Total Orders</t>
  </si>
  <si>
    <t>Sales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</si>
</sst>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5" formatCode="[$-F800]dddd\,\ mmmm\ dd\,\ yyyy"/>
  </numFmts>
  <fonts count="4" x14ac:knownFonts="1">
    <font>
      <sz val="11"/>
      <color theme="1"/>
      <name val="Calibri"/>
      <family val="2"/>
      <scheme val="minor"/>
    </font>
    <font>
      <b/>
      <sz val="11"/>
      <color theme="1"/>
      <name val="Calibri"/>
      <family val="2"/>
      <scheme val="minor"/>
    </font>
    <font>
      <b/>
      <sz val="28"/>
      <color theme="1"/>
      <name val="Calibri"/>
      <family val="2"/>
      <scheme val="minor"/>
    </font>
    <font>
      <b/>
      <sz val="20"/>
      <color theme="3"/>
      <name val="Calibri"/>
      <family val="2"/>
      <scheme val="minor"/>
    </font>
  </fonts>
  <fills count="4">
    <fill>
      <patternFill patternType="none"/>
    </fill>
    <fill>
      <patternFill patternType="gray125"/>
    </fill>
    <fill>
      <patternFill patternType="solid">
        <fgColor theme="7" tint="0.59999389629810485"/>
        <bgColor indexed="64"/>
      </patternFill>
    </fill>
    <fill>
      <patternFill patternType="solid">
        <fgColor theme="7" tint="0.39997558519241921"/>
        <bgColor indexed="64"/>
      </patternFill>
    </fill>
  </fills>
  <borders count="1">
    <border>
      <left/>
      <right/>
      <top/>
      <bottom/>
      <diagonal/>
    </border>
  </borders>
  <cellStyleXfs count="1">
    <xf numFmtId="0" fontId="0" fillId="0" borderId="0"/>
  </cellStyleXfs>
  <cellXfs count="17">
    <xf numFmtId="0" fontId="0" fillId="0" borderId="0" xfId="0"/>
    <xf numFmtId="164" fontId="0" fillId="0" borderId="0" xfId="0" applyNumberFormat="1"/>
    <xf numFmtId="0" fontId="1" fillId="2" borderId="0" xfId="0" applyFont="1" applyFill="1"/>
    <xf numFmtId="164" fontId="1" fillId="2" borderId="0" xfId="0" applyNumberFormat="1" applyFont="1" applyFill="1"/>
    <xf numFmtId="165" fontId="1" fillId="2" borderId="0" xfId="0" applyNumberFormat="1" applyFont="1" applyFill="1"/>
    <xf numFmtId="165" fontId="0" fillId="0" borderId="0" xfId="0" applyNumberFormat="1"/>
    <xf numFmtId="1" fontId="1" fillId="2" borderId="0" xfId="0" applyNumberFormat="1" applyFont="1" applyFill="1"/>
    <xf numFmtId="1"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1" fillId="2" borderId="0" xfId="0" applyFont="1" applyFill="1" applyAlignment="1">
      <alignment horizontal="center"/>
    </xf>
    <xf numFmtId="0" fontId="0" fillId="0" borderId="0" xfId="0" applyBorder="1"/>
    <xf numFmtId="0" fontId="2" fillId="3" borderId="0" xfId="0" applyFont="1" applyFill="1" applyBorder="1" applyAlignment="1">
      <alignment horizontal="center"/>
    </xf>
    <xf numFmtId="0" fontId="3" fillId="0" borderId="0" xfId="0" applyFont="1"/>
    <xf numFmtId="0" fontId="3" fillId="0" borderId="0" xfId="0" applyFont="1" applyBorder="1"/>
    <xf numFmtId="164" fontId="3" fillId="0" borderId="0" xfId="0" applyNumberFormat="1" applyFont="1" applyBorder="1"/>
  </cellXfs>
  <cellStyles count="1">
    <cellStyle name="Normal" xfId="0" builtinId="0"/>
  </cellStyles>
  <dxfs count="4">
    <dxf>
      <numFmt numFmtId="164" formatCode="&quot;₹&quot;\ #,##0.00"/>
    </dxf>
    <dxf>
      <numFmt numFmtId="164" formatCode="&quot;₹&quot;\ #,##0.00"/>
    </dxf>
    <dxf>
      <numFmt numFmtId="1" formatCode="0"/>
    </dxf>
    <dxf>
      <numFmt numFmtId="165" formatCode="[$-F800]dddd\,\ mmmm\ dd\,\ yyyy"/>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[Excel_Sales__Project.xlsx]Pivot_Summary!PivotTable4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Employees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Pivot_Summary!$F$15</c:f>
              <c:strCache>
                <c:ptCount val="1"/>
                <c:pt idx="0">
                  <c:v>Total</c:v>
                </c:pt>
              </c:strCache>
            </c:strRef>
          </c:tx>
          <c:spPr>
            <a:solidFill>
              <a:schemeClr val="accent1"/>
            </a:solidFill>
            <a:ln>
              <a:noFill/>
            </a:ln>
            <a:effectLst/>
          </c:spPr>
          <c:invertIfNegative val="0"/>
          <c:cat>
            <c:strRef>
              <c:f>Pivot_Summary!$E$16:$E$22</c:f>
              <c:strCache>
                <c:ptCount val="6"/>
                <c:pt idx="0">
                  <c:v>Neha Kapoor</c:v>
                </c:pt>
                <c:pt idx="1">
                  <c:v>Amit Sharma</c:v>
                </c:pt>
                <c:pt idx="2">
                  <c:v>Sneha Iyer</c:v>
                </c:pt>
                <c:pt idx="3">
                  <c:v>Arjun Mehta</c:v>
                </c:pt>
                <c:pt idx="4">
                  <c:v>Priya Verma</c:v>
                </c:pt>
                <c:pt idx="5">
                  <c:v>Rohit Singh</c:v>
                </c:pt>
              </c:strCache>
            </c:strRef>
          </c:cat>
          <c:val>
            <c:numRef>
              <c:f>Pivot_Summary!$F$16:$F$22</c:f>
              <c:numCache>
                <c:formatCode>"₹"\ #,##0.00</c:formatCode>
                <c:ptCount val="6"/>
                <c:pt idx="0">
                  <c:v>11402758.709999997</c:v>
                </c:pt>
                <c:pt idx="1">
                  <c:v>10528679.699999999</c:v>
                </c:pt>
                <c:pt idx="2">
                  <c:v>8691953.299999997</c:v>
                </c:pt>
                <c:pt idx="3">
                  <c:v>8599205.3200000022</c:v>
                </c:pt>
                <c:pt idx="4">
                  <c:v>8395282.5800000019</c:v>
                </c:pt>
                <c:pt idx="5">
                  <c:v>7758083.2599999998</c:v>
                </c:pt>
              </c:numCache>
            </c:numRef>
          </c:val>
          <c:extLst>
            <c:ext xmlns:c16="http://schemas.microsoft.com/office/drawing/2014/chart" uri="{C3380CC4-5D6E-409C-BE32-E72D297353CC}">
              <c16:uniqueId val="{00000000-2BB9-4A9A-B476-078E3805BB30}"/>
            </c:ext>
          </c:extLst>
        </c:ser>
        <c:dLbls>
          <c:showLegendKey val="0"/>
          <c:showVal val="0"/>
          <c:showCatName val="0"/>
          <c:showSerName val="0"/>
          <c:showPercent val="0"/>
          <c:showBubbleSize val="0"/>
        </c:dLbls>
        <c:gapWidth val="182"/>
        <c:axId val="1346977616"/>
        <c:axId val="1346974736"/>
      </c:barChart>
      <c:catAx>
        <c:axId val="13469776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6974736"/>
        <c:crosses val="autoZero"/>
        <c:auto val="1"/>
        <c:lblAlgn val="ctr"/>
        <c:lblOffset val="100"/>
        <c:noMultiLvlLbl val="0"/>
      </c:catAx>
      <c:valAx>
        <c:axId val="1346974736"/>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6977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[Excel_Sales__Project.xlsx]Pivot_Summary!PivotTable3</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Pivot_Summary!$B$15</c:f>
              <c:strCache>
                <c:ptCount val="1"/>
                <c:pt idx="0">
                  <c:v>Total</c:v>
                </c:pt>
              </c:strCache>
            </c:strRef>
          </c:tx>
          <c:spPr>
            <a:ln w="28575" cap="rnd">
              <a:solidFill>
                <a:schemeClr val="accent1"/>
              </a:solidFill>
              <a:round/>
            </a:ln>
            <a:effectLst/>
          </c:spPr>
          <c:marker>
            <c:symbol val="none"/>
          </c:marker>
          <c:cat>
            <c:multiLvlStrRef>
              <c:f>Pivot_Summary!$A$16:$A$190</c:f>
              <c:multiLvlStrCache>
                <c:ptCount val="173"/>
                <c:lvl>
                  <c:pt idx="0">
                    <c:v>2025-01-01</c:v>
                  </c:pt>
                  <c:pt idx="1">
                    <c:v>2025-01-02</c:v>
                  </c:pt>
                  <c:pt idx="2">
                    <c:v>2025-01-03</c:v>
                  </c:pt>
                  <c:pt idx="3">
                    <c:v>2025-01-04</c:v>
                  </c:pt>
                  <c:pt idx="4">
                    <c:v>2025-01-05</c:v>
                  </c:pt>
                  <c:pt idx="5">
                    <c:v>2025-01-06</c:v>
                  </c:pt>
                  <c:pt idx="6">
                    <c:v>2025-01-07</c:v>
                  </c:pt>
                  <c:pt idx="7">
                    <c:v>2025-01-08</c:v>
                  </c:pt>
                  <c:pt idx="8">
                    <c:v>2025-01-09</c:v>
                  </c:pt>
                  <c:pt idx="9">
                    <c:v>2025-01-10</c:v>
                  </c:pt>
                  <c:pt idx="10">
                    <c:v>2025-01-11</c:v>
                  </c:pt>
                  <c:pt idx="11">
                    <c:v>2025-01-12</c:v>
                  </c:pt>
                  <c:pt idx="12">
                    <c:v>2025-01-13</c:v>
                  </c:pt>
                  <c:pt idx="13">
                    <c:v>2025-01-15</c:v>
                  </c:pt>
                  <c:pt idx="14">
                    <c:v>2025-01-16</c:v>
                  </c:pt>
                  <c:pt idx="15">
                    <c:v>2025-01-17</c:v>
                  </c:pt>
                  <c:pt idx="16">
                    <c:v>2025-01-18</c:v>
                  </c:pt>
                  <c:pt idx="17">
                    <c:v>2025-01-19</c:v>
                  </c:pt>
                  <c:pt idx="18">
                    <c:v>2025-01-20</c:v>
                  </c:pt>
                  <c:pt idx="19">
                    <c:v>2025-01-21</c:v>
                  </c:pt>
                  <c:pt idx="20">
                    <c:v>2025-01-22</c:v>
                  </c:pt>
                  <c:pt idx="21">
                    <c:v>2025-01-23</c:v>
                  </c:pt>
                  <c:pt idx="22">
                    <c:v>2025-01-24</c:v>
                  </c:pt>
                  <c:pt idx="23">
                    <c:v>2025-01-25</c:v>
                  </c:pt>
                  <c:pt idx="24">
                    <c:v>2025-01-26</c:v>
                  </c:pt>
                  <c:pt idx="25">
                    <c:v>2025-01-27</c:v>
                  </c:pt>
                  <c:pt idx="26">
                    <c:v>2025-01-28</c:v>
                  </c:pt>
                  <c:pt idx="27">
                    <c:v>2025-01-29</c:v>
                  </c:pt>
                  <c:pt idx="28">
                    <c:v>2025-01-30</c:v>
                  </c:pt>
                  <c:pt idx="29">
                    <c:v>2025-01-31</c:v>
                  </c:pt>
                  <c:pt idx="30">
                    <c:v>2025-02-01</c:v>
                  </c:pt>
                  <c:pt idx="31">
                    <c:v>2025-02-02</c:v>
                  </c:pt>
                  <c:pt idx="32">
                    <c:v>2025-02-03</c:v>
                  </c:pt>
                  <c:pt idx="33">
                    <c:v>2025-02-04</c:v>
                  </c:pt>
                  <c:pt idx="34">
                    <c:v>2025-02-05</c:v>
                  </c:pt>
                  <c:pt idx="35">
                    <c:v>2025-02-06</c:v>
                  </c:pt>
                  <c:pt idx="36">
                    <c:v>2025-02-07</c:v>
                  </c:pt>
                  <c:pt idx="37">
                    <c:v>2025-02-08</c:v>
                  </c:pt>
                  <c:pt idx="38">
                    <c:v>2025-02-09</c:v>
                  </c:pt>
                  <c:pt idx="39">
                    <c:v>2025-02-10</c:v>
                  </c:pt>
                  <c:pt idx="40">
                    <c:v>2025-02-11</c:v>
                  </c:pt>
                  <c:pt idx="41">
                    <c:v>2025-02-12</c:v>
                  </c:pt>
                  <c:pt idx="42">
                    <c:v>2025-02-13</c:v>
                  </c:pt>
                  <c:pt idx="43">
                    <c:v>2025-02-15</c:v>
                  </c:pt>
                  <c:pt idx="44">
                    <c:v>2025-02-16</c:v>
                  </c:pt>
                  <c:pt idx="45">
                    <c:v>2025-02-17</c:v>
                  </c:pt>
                  <c:pt idx="46">
                    <c:v>2025-02-18</c:v>
                  </c:pt>
                  <c:pt idx="47">
                    <c:v>2025-02-19</c:v>
                  </c:pt>
                  <c:pt idx="48">
                    <c:v>2025-02-20</c:v>
                  </c:pt>
                  <c:pt idx="49">
                    <c:v>2025-02-21</c:v>
                  </c:pt>
                  <c:pt idx="50">
                    <c:v>2025-02-22</c:v>
                  </c:pt>
                  <c:pt idx="51">
                    <c:v>2025-02-23</c:v>
                  </c:pt>
                  <c:pt idx="52">
                    <c:v>2025-02-24</c:v>
                  </c:pt>
                  <c:pt idx="53">
                    <c:v>2025-02-25</c:v>
                  </c:pt>
                  <c:pt idx="54">
                    <c:v>2025-02-26</c:v>
                  </c:pt>
                  <c:pt idx="55">
                    <c:v>2025-02-27</c:v>
                  </c:pt>
                  <c:pt idx="56">
                    <c:v>2025-02-28</c:v>
                  </c:pt>
                  <c:pt idx="57">
                    <c:v>2025-03-01</c:v>
                  </c:pt>
                  <c:pt idx="58">
                    <c:v>2025-03-02</c:v>
                  </c:pt>
                  <c:pt idx="59">
                    <c:v>2025-03-03</c:v>
                  </c:pt>
                  <c:pt idx="60">
                    <c:v>2025-03-04</c:v>
                  </c:pt>
                  <c:pt idx="61">
                    <c:v>2025-03-05</c:v>
                  </c:pt>
                  <c:pt idx="62">
                    <c:v>2025-03-06</c:v>
                  </c:pt>
                  <c:pt idx="63">
                    <c:v>2025-03-07</c:v>
                  </c:pt>
                  <c:pt idx="64">
                    <c:v>2025-03-08</c:v>
                  </c:pt>
                  <c:pt idx="65">
                    <c:v>2025-03-10</c:v>
                  </c:pt>
                  <c:pt idx="66">
                    <c:v>2025-03-11</c:v>
                  </c:pt>
                  <c:pt idx="67">
                    <c:v>2025-03-12</c:v>
                  </c:pt>
                  <c:pt idx="68">
                    <c:v>2025-03-13</c:v>
                  </c:pt>
                  <c:pt idx="69">
                    <c:v>2025-03-14</c:v>
                  </c:pt>
                  <c:pt idx="70">
                    <c:v>2025-03-15</c:v>
                  </c:pt>
                  <c:pt idx="71">
                    <c:v>2025-03-16</c:v>
                  </c:pt>
                  <c:pt idx="72">
                    <c:v>2025-03-17</c:v>
                  </c:pt>
                  <c:pt idx="73">
                    <c:v>2025-03-18</c:v>
                  </c:pt>
                  <c:pt idx="74">
                    <c:v>2025-03-19</c:v>
                  </c:pt>
                  <c:pt idx="75">
                    <c:v>2025-03-20</c:v>
                  </c:pt>
                  <c:pt idx="76">
                    <c:v>2025-03-21</c:v>
                  </c:pt>
                  <c:pt idx="77">
                    <c:v>2025-03-22</c:v>
                  </c:pt>
                  <c:pt idx="78">
                    <c:v>2025-03-23</c:v>
                  </c:pt>
                  <c:pt idx="79">
                    <c:v>2025-03-24</c:v>
                  </c:pt>
                  <c:pt idx="80">
                    <c:v>2025-03-25</c:v>
                  </c:pt>
                  <c:pt idx="81">
                    <c:v>2025-03-26</c:v>
                  </c:pt>
                  <c:pt idx="82">
                    <c:v>2025-03-27</c:v>
                  </c:pt>
                  <c:pt idx="83">
                    <c:v>2025-03-28</c:v>
                  </c:pt>
                  <c:pt idx="84">
                    <c:v>2025-03-29</c:v>
                  </c:pt>
                  <c:pt idx="85">
                    <c:v>2025-03-30</c:v>
                  </c:pt>
                  <c:pt idx="86">
                    <c:v>2025-03-31</c:v>
                  </c:pt>
                  <c:pt idx="87">
                    <c:v>2025-04-01</c:v>
                  </c:pt>
                  <c:pt idx="88">
                    <c:v>2025-04-02</c:v>
                  </c:pt>
                  <c:pt idx="89">
                    <c:v>2025-04-03</c:v>
                  </c:pt>
                  <c:pt idx="90">
                    <c:v>2025-04-04</c:v>
                  </c:pt>
                  <c:pt idx="91">
                    <c:v>2025-04-05</c:v>
                  </c:pt>
                  <c:pt idx="92">
                    <c:v>2025-04-06</c:v>
                  </c:pt>
                  <c:pt idx="93">
                    <c:v>2025-04-07</c:v>
                  </c:pt>
                  <c:pt idx="94">
                    <c:v>2025-04-08</c:v>
                  </c:pt>
                  <c:pt idx="95">
                    <c:v>2025-04-09</c:v>
                  </c:pt>
                  <c:pt idx="96">
                    <c:v>2025-04-10</c:v>
                  </c:pt>
                  <c:pt idx="97">
                    <c:v>2025-04-11</c:v>
                  </c:pt>
                  <c:pt idx="98">
                    <c:v>2025-04-12</c:v>
                  </c:pt>
                  <c:pt idx="99">
                    <c:v>2025-04-13</c:v>
                  </c:pt>
                  <c:pt idx="100">
                    <c:v>2025-04-14</c:v>
                  </c:pt>
                  <c:pt idx="101">
                    <c:v>2025-04-15</c:v>
                  </c:pt>
                  <c:pt idx="102">
                    <c:v>2025-04-16</c:v>
                  </c:pt>
                  <c:pt idx="103">
                    <c:v>2025-04-17</c:v>
                  </c:pt>
                  <c:pt idx="104">
                    <c:v>2025-04-19</c:v>
                  </c:pt>
                  <c:pt idx="105">
                    <c:v>2025-04-20</c:v>
                  </c:pt>
                  <c:pt idx="106">
                    <c:v>2025-04-21</c:v>
                  </c:pt>
                  <c:pt idx="107">
                    <c:v>2025-04-22</c:v>
                  </c:pt>
                  <c:pt idx="108">
                    <c:v>2025-04-23</c:v>
                  </c:pt>
                  <c:pt idx="109">
                    <c:v>2025-04-24</c:v>
                  </c:pt>
                  <c:pt idx="110">
                    <c:v>2025-04-25</c:v>
                  </c:pt>
                  <c:pt idx="111">
                    <c:v>2025-04-26</c:v>
                  </c:pt>
                  <c:pt idx="112">
                    <c:v>2025-04-27</c:v>
                  </c:pt>
                  <c:pt idx="113">
                    <c:v>2025-04-28</c:v>
                  </c:pt>
                  <c:pt idx="114">
                    <c:v>2025-04-29</c:v>
                  </c:pt>
                  <c:pt idx="115">
                    <c:v>2025-05-01</c:v>
                  </c:pt>
                  <c:pt idx="116">
                    <c:v>2025-05-02</c:v>
                  </c:pt>
                  <c:pt idx="117">
                    <c:v>2025-05-03</c:v>
                  </c:pt>
                  <c:pt idx="118">
                    <c:v>2025-05-04</c:v>
                  </c:pt>
                  <c:pt idx="119">
                    <c:v>2025-05-05</c:v>
                  </c:pt>
                  <c:pt idx="120">
                    <c:v>2025-05-06</c:v>
                  </c:pt>
                  <c:pt idx="121">
                    <c:v>2025-05-07</c:v>
                  </c:pt>
                  <c:pt idx="122">
                    <c:v>2025-05-08</c:v>
                  </c:pt>
                  <c:pt idx="123">
                    <c:v>2025-05-09</c:v>
                  </c:pt>
                  <c:pt idx="124">
                    <c:v>2025-05-10</c:v>
                  </c:pt>
                  <c:pt idx="125">
                    <c:v>2025-05-11</c:v>
                  </c:pt>
                  <c:pt idx="126">
                    <c:v>2025-05-13</c:v>
                  </c:pt>
                  <c:pt idx="127">
                    <c:v>2025-05-14</c:v>
                  </c:pt>
                  <c:pt idx="128">
                    <c:v>2025-05-15</c:v>
                  </c:pt>
                  <c:pt idx="129">
                    <c:v>2025-05-16</c:v>
                  </c:pt>
                  <c:pt idx="130">
                    <c:v>2025-05-17</c:v>
                  </c:pt>
                  <c:pt idx="131">
                    <c:v>2025-05-18</c:v>
                  </c:pt>
                  <c:pt idx="132">
                    <c:v>2025-05-19</c:v>
                  </c:pt>
                  <c:pt idx="133">
                    <c:v>2025-05-20</c:v>
                  </c:pt>
                  <c:pt idx="134">
                    <c:v>2025-05-21</c:v>
                  </c:pt>
                  <c:pt idx="135">
                    <c:v>2025-05-22</c:v>
                  </c:pt>
                  <c:pt idx="136">
                    <c:v>2025-05-23</c:v>
                  </c:pt>
                  <c:pt idx="137">
                    <c:v>2025-05-24</c:v>
                  </c:pt>
                  <c:pt idx="138">
                    <c:v>2025-05-25</c:v>
                  </c:pt>
                  <c:pt idx="139">
                    <c:v>2025-05-26</c:v>
                  </c:pt>
                  <c:pt idx="140">
                    <c:v>2025-05-28</c:v>
                  </c:pt>
                  <c:pt idx="141">
                    <c:v>2025-05-30</c:v>
                  </c:pt>
                  <c:pt idx="142">
                    <c:v>2025-05-31</c:v>
                  </c:pt>
                  <c:pt idx="143">
                    <c:v>2025-06-01</c:v>
                  </c:pt>
                  <c:pt idx="144">
                    <c:v>2025-06-02</c:v>
                  </c:pt>
                  <c:pt idx="145">
                    <c:v>2025-06-03</c:v>
                  </c:pt>
                  <c:pt idx="146">
                    <c:v>2025-06-04</c:v>
                  </c:pt>
                  <c:pt idx="147">
                    <c:v>2025-06-05</c:v>
                  </c:pt>
                  <c:pt idx="148">
                    <c:v>2025-06-06</c:v>
                  </c:pt>
                  <c:pt idx="149">
                    <c:v>2025-06-07</c:v>
                  </c:pt>
                  <c:pt idx="150">
                    <c:v>2025-06-08</c:v>
                  </c:pt>
                  <c:pt idx="151">
                    <c:v>2025-06-09</c:v>
                  </c:pt>
                  <c:pt idx="152">
                    <c:v>2025-06-10</c:v>
                  </c:pt>
                  <c:pt idx="153">
                    <c:v>2025-06-11</c:v>
                  </c:pt>
                  <c:pt idx="154">
                    <c:v>2025-06-12</c:v>
                  </c:pt>
                  <c:pt idx="155">
                    <c:v>2025-06-13</c:v>
                  </c:pt>
                  <c:pt idx="156">
                    <c:v>2025-06-14</c:v>
                  </c:pt>
                  <c:pt idx="157">
                    <c:v>2025-06-15</c:v>
                  </c:pt>
                  <c:pt idx="158">
                    <c:v>2025-06-16</c:v>
                  </c:pt>
                  <c:pt idx="159">
                    <c:v>2025-06-17</c:v>
                  </c:pt>
                  <c:pt idx="160">
                    <c:v>2025-06-18</c:v>
                  </c:pt>
                  <c:pt idx="161">
                    <c:v>2025-06-19</c:v>
                  </c:pt>
                  <c:pt idx="162">
                    <c:v>2025-06-20</c:v>
                  </c:pt>
                  <c:pt idx="163">
                    <c:v>2025-06-21</c:v>
                  </c:pt>
                  <c:pt idx="164">
                    <c:v>2025-06-22</c:v>
                  </c:pt>
                  <c:pt idx="165">
                    <c:v>2025-06-23</c:v>
                  </c:pt>
                  <c:pt idx="166">
                    <c:v>2025-06-24</c:v>
                  </c:pt>
                  <c:pt idx="167">
                    <c:v>2025-06-25</c:v>
                  </c:pt>
                  <c:pt idx="168">
                    <c:v>2025-06-26</c:v>
                  </c:pt>
                  <c:pt idx="169">
                    <c:v>2025-06-27</c:v>
                  </c:pt>
                  <c:pt idx="170">
                    <c:v>2025-06-28</c:v>
                  </c:pt>
                  <c:pt idx="171">
                    <c:v>2025-06-29</c:v>
                  </c:pt>
                  <c:pt idx="172">
                    <c:v>2025-06-30</c:v>
                  </c:pt>
                </c:lvl>
                <c:lvl>
                  <c:pt idx="0">
                    <c:v>Group1</c:v>
                  </c:pt>
                </c:lvl>
              </c:multiLvlStrCache>
            </c:multiLvlStrRef>
          </c:cat>
          <c:val>
            <c:numRef>
              <c:f>Pivot_Summary!$B$16:$B$190</c:f>
              <c:numCache>
                <c:formatCode>"₹"\ #,##0.00</c:formatCode>
                <c:ptCount val="173"/>
                <c:pt idx="0">
                  <c:v>630918.73</c:v>
                </c:pt>
                <c:pt idx="1">
                  <c:v>58011.02</c:v>
                </c:pt>
                <c:pt idx="2">
                  <c:v>485731.32</c:v>
                </c:pt>
                <c:pt idx="3">
                  <c:v>662319.61</c:v>
                </c:pt>
                <c:pt idx="4">
                  <c:v>752762.46000000008</c:v>
                </c:pt>
                <c:pt idx="5">
                  <c:v>543581.56999999995</c:v>
                </c:pt>
                <c:pt idx="6">
                  <c:v>278749.3</c:v>
                </c:pt>
                <c:pt idx="7">
                  <c:v>98551.11</c:v>
                </c:pt>
                <c:pt idx="8">
                  <c:v>100154.32</c:v>
                </c:pt>
                <c:pt idx="9">
                  <c:v>790136.74</c:v>
                </c:pt>
                <c:pt idx="10">
                  <c:v>1111318.8</c:v>
                </c:pt>
                <c:pt idx="11">
                  <c:v>8065.47</c:v>
                </c:pt>
                <c:pt idx="12">
                  <c:v>296945.69999999995</c:v>
                </c:pt>
                <c:pt idx="13">
                  <c:v>260068.79</c:v>
                </c:pt>
                <c:pt idx="14">
                  <c:v>19745.080000000002</c:v>
                </c:pt>
                <c:pt idx="15">
                  <c:v>228857.58000000002</c:v>
                </c:pt>
                <c:pt idx="16">
                  <c:v>929738.61</c:v>
                </c:pt>
                <c:pt idx="17">
                  <c:v>907426.7</c:v>
                </c:pt>
                <c:pt idx="18">
                  <c:v>598226.52</c:v>
                </c:pt>
                <c:pt idx="19">
                  <c:v>372745.21</c:v>
                </c:pt>
                <c:pt idx="20">
                  <c:v>450790.05</c:v>
                </c:pt>
                <c:pt idx="21">
                  <c:v>865080.89999999991</c:v>
                </c:pt>
                <c:pt idx="22">
                  <c:v>121561.45999999999</c:v>
                </c:pt>
                <c:pt idx="23">
                  <c:v>698321.7</c:v>
                </c:pt>
                <c:pt idx="24">
                  <c:v>296300.42</c:v>
                </c:pt>
                <c:pt idx="25">
                  <c:v>176946.01</c:v>
                </c:pt>
                <c:pt idx="26">
                  <c:v>849886.45</c:v>
                </c:pt>
                <c:pt idx="27">
                  <c:v>291480.17</c:v>
                </c:pt>
                <c:pt idx="28">
                  <c:v>378270.31</c:v>
                </c:pt>
                <c:pt idx="29">
                  <c:v>588231.86</c:v>
                </c:pt>
                <c:pt idx="30">
                  <c:v>125606.88</c:v>
                </c:pt>
                <c:pt idx="31">
                  <c:v>432770.63</c:v>
                </c:pt>
                <c:pt idx="32">
                  <c:v>539590.17999999993</c:v>
                </c:pt>
                <c:pt idx="33">
                  <c:v>485245.38999999996</c:v>
                </c:pt>
                <c:pt idx="34">
                  <c:v>57857.41</c:v>
                </c:pt>
                <c:pt idx="35">
                  <c:v>12975.04</c:v>
                </c:pt>
                <c:pt idx="36">
                  <c:v>110407.77</c:v>
                </c:pt>
                <c:pt idx="37">
                  <c:v>86981.92</c:v>
                </c:pt>
                <c:pt idx="38">
                  <c:v>179898.63</c:v>
                </c:pt>
                <c:pt idx="39">
                  <c:v>295577.76999999996</c:v>
                </c:pt>
                <c:pt idx="40">
                  <c:v>961259.45</c:v>
                </c:pt>
                <c:pt idx="41">
                  <c:v>583541.19999999995</c:v>
                </c:pt>
                <c:pt idx="42">
                  <c:v>262782.53999999998</c:v>
                </c:pt>
                <c:pt idx="43">
                  <c:v>786040.17999999993</c:v>
                </c:pt>
                <c:pt idx="44">
                  <c:v>361072.63</c:v>
                </c:pt>
                <c:pt idx="45">
                  <c:v>50983.14</c:v>
                </c:pt>
                <c:pt idx="46">
                  <c:v>3820.96</c:v>
                </c:pt>
                <c:pt idx="47">
                  <c:v>1013827.5599999999</c:v>
                </c:pt>
                <c:pt idx="48">
                  <c:v>120586.45999999999</c:v>
                </c:pt>
                <c:pt idx="49">
                  <c:v>793543.38</c:v>
                </c:pt>
                <c:pt idx="50">
                  <c:v>175706.53000000003</c:v>
                </c:pt>
                <c:pt idx="51">
                  <c:v>235458.46999999997</c:v>
                </c:pt>
                <c:pt idx="52">
                  <c:v>86158.47</c:v>
                </c:pt>
                <c:pt idx="53">
                  <c:v>292737.73</c:v>
                </c:pt>
                <c:pt idx="54">
                  <c:v>56985.94</c:v>
                </c:pt>
                <c:pt idx="55">
                  <c:v>224678.37</c:v>
                </c:pt>
                <c:pt idx="56">
                  <c:v>535756.17999999993</c:v>
                </c:pt>
                <c:pt idx="57">
                  <c:v>47270.11</c:v>
                </c:pt>
                <c:pt idx="58">
                  <c:v>323680.99</c:v>
                </c:pt>
                <c:pt idx="59">
                  <c:v>320307.62</c:v>
                </c:pt>
                <c:pt idx="60">
                  <c:v>4158.3</c:v>
                </c:pt>
                <c:pt idx="61">
                  <c:v>10173.59</c:v>
                </c:pt>
                <c:pt idx="62">
                  <c:v>227422.49</c:v>
                </c:pt>
                <c:pt idx="63">
                  <c:v>125264.51999999999</c:v>
                </c:pt>
                <c:pt idx="64">
                  <c:v>92502.8</c:v>
                </c:pt>
                <c:pt idx="65">
                  <c:v>116716.59999999999</c:v>
                </c:pt>
                <c:pt idx="66">
                  <c:v>9350.58</c:v>
                </c:pt>
                <c:pt idx="67">
                  <c:v>79325.400000000009</c:v>
                </c:pt>
                <c:pt idx="68">
                  <c:v>105848.84999999999</c:v>
                </c:pt>
                <c:pt idx="69">
                  <c:v>291965.7</c:v>
                </c:pt>
                <c:pt idx="70">
                  <c:v>268989.24</c:v>
                </c:pt>
                <c:pt idx="71">
                  <c:v>210610.05</c:v>
                </c:pt>
                <c:pt idx="72">
                  <c:v>601834.4</c:v>
                </c:pt>
                <c:pt idx="73">
                  <c:v>42420.21</c:v>
                </c:pt>
                <c:pt idx="74">
                  <c:v>339512.75999999995</c:v>
                </c:pt>
                <c:pt idx="75">
                  <c:v>7129.5599999999995</c:v>
                </c:pt>
                <c:pt idx="76">
                  <c:v>81462.430000000008</c:v>
                </c:pt>
                <c:pt idx="77">
                  <c:v>90693.68</c:v>
                </c:pt>
                <c:pt idx="78">
                  <c:v>490604.38</c:v>
                </c:pt>
                <c:pt idx="79">
                  <c:v>63537.5</c:v>
                </c:pt>
                <c:pt idx="80">
                  <c:v>547492.14</c:v>
                </c:pt>
                <c:pt idx="81">
                  <c:v>276299.12</c:v>
                </c:pt>
                <c:pt idx="82">
                  <c:v>293041.40000000002</c:v>
                </c:pt>
                <c:pt idx="83">
                  <c:v>250832.28</c:v>
                </c:pt>
                <c:pt idx="84">
                  <c:v>380318.43</c:v>
                </c:pt>
                <c:pt idx="85">
                  <c:v>266486.56</c:v>
                </c:pt>
                <c:pt idx="86">
                  <c:v>412268.16999999993</c:v>
                </c:pt>
                <c:pt idx="87">
                  <c:v>111959.66</c:v>
                </c:pt>
                <c:pt idx="88">
                  <c:v>543378.55000000005</c:v>
                </c:pt>
                <c:pt idx="89">
                  <c:v>251884.08</c:v>
                </c:pt>
                <c:pt idx="90">
                  <c:v>251410.31</c:v>
                </c:pt>
                <c:pt idx="91">
                  <c:v>700410.94</c:v>
                </c:pt>
                <c:pt idx="92">
                  <c:v>7756.46</c:v>
                </c:pt>
                <c:pt idx="93">
                  <c:v>253342.91</c:v>
                </c:pt>
                <c:pt idx="94">
                  <c:v>559276.19999999995</c:v>
                </c:pt>
                <c:pt idx="95">
                  <c:v>62928.31</c:v>
                </c:pt>
                <c:pt idx="96">
                  <c:v>34615.96</c:v>
                </c:pt>
                <c:pt idx="97">
                  <c:v>673502.78</c:v>
                </c:pt>
                <c:pt idx="98">
                  <c:v>852562.24</c:v>
                </c:pt>
                <c:pt idx="99">
                  <c:v>426062.7</c:v>
                </c:pt>
                <c:pt idx="100">
                  <c:v>112300.44</c:v>
                </c:pt>
                <c:pt idx="101">
                  <c:v>225131.22</c:v>
                </c:pt>
                <c:pt idx="102">
                  <c:v>177517.14</c:v>
                </c:pt>
                <c:pt idx="103">
                  <c:v>130477.08</c:v>
                </c:pt>
                <c:pt idx="104">
                  <c:v>348424.11</c:v>
                </c:pt>
                <c:pt idx="105">
                  <c:v>98967.22</c:v>
                </c:pt>
                <c:pt idx="106">
                  <c:v>336537.65</c:v>
                </c:pt>
                <c:pt idx="107">
                  <c:v>15853.100000000002</c:v>
                </c:pt>
                <c:pt idx="108">
                  <c:v>4362</c:v>
                </c:pt>
                <c:pt idx="109">
                  <c:v>288133.60000000003</c:v>
                </c:pt>
                <c:pt idx="110">
                  <c:v>392688.24</c:v>
                </c:pt>
                <c:pt idx="111">
                  <c:v>528398.74</c:v>
                </c:pt>
                <c:pt idx="112">
                  <c:v>282894.78000000003</c:v>
                </c:pt>
                <c:pt idx="113">
                  <c:v>225241.56</c:v>
                </c:pt>
                <c:pt idx="114">
                  <c:v>164694.41999999998</c:v>
                </c:pt>
                <c:pt idx="115">
                  <c:v>7483.35</c:v>
                </c:pt>
                <c:pt idx="116">
                  <c:v>374657.28000000003</c:v>
                </c:pt>
                <c:pt idx="117">
                  <c:v>259113.21</c:v>
                </c:pt>
                <c:pt idx="118">
                  <c:v>349654.21</c:v>
                </c:pt>
                <c:pt idx="119">
                  <c:v>76072.990000000005</c:v>
                </c:pt>
                <c:pt idx="120">
                  <c:v>123651.92</c:v>
                </c:pt>
                <c:pt idx="121">
                  <c:v>227052.72</c:v>
                </c:pt>
                <c:pt idx="122">
                  <c:v>266345.78000000003</c:v>
                </c:pt>
                <c:pt idx="123">
                  <c:v>360579.52</c:v>
                </c:pt>
                <c:pt idx="124">
                  <c:v>49016.12</c:v>
                </c:pt>
                <c:pt idx="125">
                  <c:v>778216.76</c:v>
                </c:pt>
                <c:pt idx="126">
                  <c:v>614998.1</c:v>
                </c:pt>
                <c:pt idx="127">
                  <c:v>182017.22999999998</c:v>
                </c:pt>
                <c:pt idx="128">
                  <c:v>281929.63</c:v>
                </c:pt>
                <c:pt idx="129">
                  <c:v>272383.65000000002</c:v>
                </c:pt>
                <c:pt idx="130">
                  <c:v>32305.42</c:v>
                </c:pt>
                <c:pt idx="131">
                  <c:v>120293.75</c:v>
                </c:pt>
                <c:pt idx="132">
                  <c:v>567525.07000000007</c:v>
                </c:pt>
                <c:pt idx="133">
                  <c:v>696116.01</c:v>
                </c:pt>
                <c:pt idx="134">
                  <c:v>302527.64</c:v>
                </c:pt>
                <c:pt idx="135">
                  <c:v>237240.48</c:v>
                </c:pt>
                <c:pt idx="136">
                  <c:v>581120.73</c:v>
                </c:pt>
                <c:pt idx="137">
                  <c:v>127797.95</c:v>
                </c:pt>
                <c:pt idx="138">
                  <c:v>400189.89999999997</c:v>
                </c:pt>
                <c:pt idx="139">
                  <c:v>254425.66</c:v>
                </c:pt>
                <c:pt idx="140">
                  <c:v>470778.95999999996</c:v>
                </c:pt>
                <c:pt idx="141">
                  <c:v>221722.88</c:v>
                </c:pt>
                <c:pt idx="142">
                  <c:v>982068.94000000006</c:v>
                </c:pt>
                <c:pt idx="143">
                  <c:v>422346.68</c:v>
                </c:pt>
                <c:pt idx="144">
                  <c:v>663108.02</c:v>
                </c:pt>
                <c:pt idx="145">
                  <c:v>269316.27</c:v>
                </c:pt>
                <c:pt idx="146">
                  <c:v>179245.59000000003</c:v>
                </c:pt>
                <c:pt idx="147">
                  <c:v>206915.11</c:v>
                </c:pt>
                <c:pt idx="148">
                  <c:v>381619.89999999997</c:v>
                </c:pt>
                <c:pt idx="149">
                  <c:v>45356.480000000003</c:v>
                </c:pt>
                <c:pt idx="150">
                  <c:v>578969.93999999994</c:v>
                </c:pt>
                <c:pt idx="151">
                  <c:v>12250</c:v>
                </c:pt>
                <c:pt idx="152">
                  <c:v>144842.81</c:v>
                </c:pt>
                <c:pt idx="153">
                  <c:v>577025.93999999994</c:v>
                </c:pt>
                <c:pt idx="154">
                  <c:v>8499.6</c:v>
                </c:pt>
                <c:pt idx="155">
                  <c:v>128106.1</c:v>
                </c:pt>
                <c:pt idx="156">
                  <c:v>225665.54000000004</c:v>
                </c:pt>
                <c:pt idx="157">
                  <c:v>231536.16</c:v>
                </c:pt>
                <c:pt idx="158">
                  <c:v>315317.20999999996</c:v>
                </c:pt>
                <c:pt idx="159">
                  <c:v>153000.78999999998</c:v>
                </c:pt>
                <c:pt idx="160">
                  <c:v>1209220.1599999999</c:v>
                </c:pt>
                <c:pt idx="161">
                  <c:v>452508.7</c:v>
                </c:pt>
                <c:pt idx="162">
                  <c:v>393105.56</c:v>
                </c:pt>
                <c:pt idx="163">
                  <c:v>328900.88</c:v>
                </c:pt>
                <c:pt idx="164">
                  <c:v>61702.74</c:v>
                </c:pt>
                <c:pt idx="165">
                  <c:v>474546.42</c:v>
                </c:pt>
                <c:pt idx="166">
                  <c:v>193951.28</c:v>
                </c:pt>
                <c:pt idx="167">
                  <c:v>80169.649999999994</c:v>
                </c:pt>
                <c:pt idx="168">
                  <c:v>743843.75</c:v>
                </c:pt>
                <c:pt idx="169">
                  <c:v>151610.28</c:v>
                </c:pt>
                <c:pt idx="170">
                  <c:v>50482.14</c:v>
                </c:pt>
                <c:pt idx="171">
                  <c:v>40349.620000000003</c:v>
                </c:pt>
                <c:pt idx="172">
                  <c:v>274156.65000000002</c:v>
                </c:pt>
              </c:numCache>
            </c:numRef>
          </c:val>
          <c:smooth val="0"/>
          <c:extLst>
            <c:ext xmlns:c16="http://schemas.microsoft.com/office/drawing/2014/chart" uri="{C3380CC4-5D6E-409C-BE32-E72D297353CC}">
              <c16:uniqueId val="{00000000-F0C0-444A-9E62-CDDB22258AF1}"/>
            </c:ext>
          </c:extLst>
        </c:ser>
        <c:dLbls>
          <c:showLegendKey val="0"/>
          <c:showVal val="0"/>
          <c:showCatName val="0"/>
          <c:showSerName val="0"/>
          <c:showPercent val="0"/>
          <c:showBubbleSize val="0"/>
        </c:dLbls>
        <c:smooth val="0"/>
        <c:axId val="978064704"/>
        <c:axId val="978065184"/>
      </c:lineChart>
      <c:catAx>
        <c:axId val="978064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8065184"/>
        <c:crosses val="autoZero"/>
        <c:auto val="1"/>
        <c:lblAlgn val="ctr"/>
        <c:lblOffset val="100"/>
        <c:noMultiLvlLbl val="0"/>
      </c:catAx>
      <c:valAx>
        <c:axId val="97806518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8064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[Excel_Sales__Project.xlsx]Pivot_Summary!PivotTable2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TotaRevenue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Pivot_Summary!$F$3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A34-4CEA-8937-18484FE4545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A34-4CEA-8937-18484FE4545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A34-4CEA-8937-18484FE4545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A34-4CEA-8937-18484FE45459}"/>
              </c:ext>
            </c:extLst>
          </c:dPt>
          <c:cat>
            <c:strRef>
              <c:f>Pivot_Summary!$E$4:$E$8</c:f>
              <c:strCache>
                <c:ptCount val="4"/>
                <c:pt idx="0">
                  <c:v>East</c:v>
                </c:pt>
                <c:pt idx="1">
                  <c:v>North</c:v>
                </c:pt>
                <c:pt idx="2">
                  <c:v>South</c:v>
                </c:pt>
                <c:pt idx="3">
                  <c:v>West</c:v>
                </c:pt>
              </c:strCache>
            </c:strRef>
          </c:cat>
          <c:val>
            <c:numRef>
              <c:f>Pivot_Summary!$F$4:$F$8</c:f>
              <c:numCache>
                <c:formatCode>"₹"\ #,##0.00</c:formatCode>
                <c:ptCount val="4"/>
                <c:pt idx="0">
                  <c:v>14268851.239999995</c:v>
                </c:pt>
                <c:pt idx="1">
                  <c:v>12539405.590000002</c:v>
                </c:pt>
                <c:pt idx="2">
                  <c:v>11872269.539999995</c:v>
                </c:pt>
                <c:pt idx="3">
                  <c:v>16695436.499999994</c:v>
                </c:pt>
              </c:numCache>
            </c:numRef>
          </c:val>
          <c:extLst>
            <c:ext xmlns:c16="http://schemas.microsoft.com/office/drawing/2014/chart" uri="{C3380CC4-5D6E-409C-BE32-E72D297353CC}">
              <c16:uniqueId val="{00000008-1A34-4CEA-8937-18484FE4545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[Excel_Sales__Project.xlsx]Pivot_Summary!PivotTable1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Pivot_Summary!$B$3</c:f>
              <c:strCache>
                <c:ptCount val="1"/>
                <c:pt idx="0">
                  <c:v>Total</c:v>
                </c:pt>
              </c:strCache>
            </c:strRef>
          </c:tx>
          <c:spPr>
            <a:solidFill>
              <a:schemeClr val="accent1"/>
            </a:solidFill>
            <a:ln>
              <a:noFill/>
            </a:ln>
            <a:effectLst/>
          </c:spPr>
          <c:invertIfNegative val="0"/>
          <c:cat>
            <c:strRef>
              <c:f>Pivot_Summary!$A$4:$A$8</c:f>
              <c:strCache>
                <c:ptCount val="4"/>
                <c:pt idx="0">
                  <c:v>Clothing</c:v>
                </c:pt>
                <c:pt idx="1">
                  <c:v>Electronics</c:v>
                </c:pt>
                <c:pt idx="2">
                  <c:v>Home Appliances</c:v>
                </c:pt>
                <c:pt idx="3">
                  <c:v>Sports</c:v>
                </c:pt>
              </c:strCache>
            </c:strRef>
          </c:cat>
          <c:val>
            <c:numRef>
              <c:f>Pivot_Summary!$B$4:$B$8</c:f>
              <c:numCache>
                <c:formatCode>"₹"\ #,##0.00</c:formatCode>
                <c:ptCount val="4"/>
                <c:pt idx="0">
                  <c:v>341605.82000000007</c:v>
                </c:pt>
                <c:pt idx="1">
                  <c:v>34493094.759999998</c:v>
                </c:pt>
                <c:pt idx="2">
                  <c:v>19830445.489999998</c:v>
                </c:pt>
                <c:pt idx="3">
                  <c:v>710816.80000000016</c:v>
                </c:pt>
              </c:numCache>
            </c:numRef>
          </c:val>
          <c:extLst>
            <c:ext xmlns:c16="http://schemas.microsoft.com/office/drawing/2014/chart" uri="{C3380CC4-5D6E-409C-BE32-E72D297353CC}">
              <c16:uniqueId val="{00000000-EA60-4F53-B163-820F59F4C2EB}"/>
            </c:ext>
          </c:extLst>
        </c:ser>
        <c:dLbls>
          <c:showLegendKey val="0"/>
          <c:showVal val="0"/>
          <c:showCatName val="0"/>
          <c:showSerName val="0"/>
          <c:showPercent val="0"/>
          <c:showBubbleSize val="0"/>
        </c:dLbls>
        <c:gapWidth val="219"/>
        <c:overlap val="-27"/>
        <c:axId val="978051744"/>
        <c:axId val="978060864"/>
      </c:barChart>
      <c:catAx>
        <c:axId val="978051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8060864"/>
        <c:crosses val="autoZero"/>
        <c:auto val="1"/>
        <c:lblAlgn val="ctr"/>
        <c:lblOffset val="100"/>
        <c:noMultiLvlLbl val="0"/>
      </c:catAx>
      <c:valAx>
        <c:axId val="97806086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8051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6</xdr:col>
      <xdr:colOff>393700</xdr:colOff>
      <xdr:row>1</xdr:row>
      <xdr:rowOff>57150</xdr:rowOff>
    </xdr:from>
    <xdr:to>
      <xdr:col>9</xdr:col>
      <xdr:colOff>393700</xdr:colOff>
      <xdr:row>10</xdr:row>
      <xdr:rowOff>12699</xdr:rowOff>
    </xdr:to>
    <mc:AlternateContent xmlns:mc="http://schemas.openxmlformats.org/markup-compatibility/2006">
      <mc:Choice xmlns:a14="http://schemas.microsoft.com/office/drawing/2010/main" Requires="a14">
        <xdr:graphicFrame macro="">
          <xdr:nvGraphicFramePr>
            <xdr:cNvPr id="7" name="Category">
              <a:extLst>
                <a:ext uri="{FF2B5EF4-FFF2-40B4-BE49-F238E27FC236}">
                  <a16:creationId xmlns:a16="http://schemas.microsoft.com/office/drawing/2014/main" id="{5C632C1A-F336-3B22-BE05-C043C3F9AD3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695950" y="241300"/>
              <a:ext cx="1828800" cy="16128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8</xdr:col>
      <xdr:colOff>19385</xdr:colOff>
      <xdr:row>19</xdr:row>
      <xdr:rowOff>174791</xdr:rowOff>
    </xdr:from>
    <xdr:to>
      <xdr:col>16</xdr:col>
      <xdr:colOff>217237</xdr:colOff>
      <xdr:row>36</xdr:row>
      <xdr:rowOff>175460</xdr:rowOff>
    </xdr:to>
    <xdr:graphicFrame macro="">
      <xdr:nvGraphicFramePr>
        <xdr:cNvPr id="2" name="Chart 1">
          <a:extLst>
            <a:ext uri="{FF2B5EF4-FFF2-40B4-BE49-F238E27FC236}">
              <a16:creationId xmlns:a16="http://schemas.microsoft.com/office/drawing/2014/main" id="{3B7B6BB7-5E92-4BEE-85D3-416E1E0556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20</xdr:row>
      <xdr:rowOff>0</xdr:rowOff>
    </xdr:from>
    <xdr:to>
      <xdr:col>8</xdr:col>
      <xdr:colOff>8354</xdr:colOff>
      <xdr:row>37</xdr:row>
      <xdr:rowOff>0</xdr:rowOff>
    </xdr:to>
    <xdr:graphicFrame macro="">
      <xdr:nvGraphicFramePr>
        <xdr:cNvPr id="3" name="Chart 2">
          <a:extLst>
            <a:ext uri="{FF2B5EF4-FFF2-40B4-BE49-F238E27FC236}">
              <a16:creationId xmlns:a16="http://schemas.microsoft.com/office/drawing/2014/main" id="{6CA835AB-33C2-4CF6-9B16-2D5D5F5222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6349</xdr:colOff>
      <xdr:row>5</xdr:row>
      <xdr:rowOff>6350</xdr:rowOff>
    </xdr:from>
    <xdr:to>
      <xdr:col>16</xdr:col>
      <xdr:colOff>217236</xdr:colOff>
      <xdr:row>19</xdr:row>
      <xdr:rowOff>171450</xdr:rowOff>
    </xdr:to>
    <xdr:graphicFrame macro="">
      <xdr:nvGraphicFramePr>
        <xdr:cNvPr id="4" name="Chart 3">
          <a:extLst>
            <a:ext uri="{FF2B5EF4-FFF2-40B4-BE49-F238E27FC236}">
              <a16:creationId xmlns:a16="http://schemas.microsoft.com/office/drawing/2014/main" id="{05888A6F-89D0-4066-8E68-5014621A45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12699</xdr:colOff>
      <xdr:row>5</xdr:row>
      <xdr:rowOff>12700</xdr:rowOff>
    </xdr:from>
    <xdr:to>
      <xdr:col>8</xdr:col>
      <xdr:colOff>8354</xdr:colOff>
      <xdr:row>19</xdr:row>
      <xdr:rowOff>177800</xdr:rowOff>
    </xdr:to>
    <xdr:graphicFrame macro="">
      <xdr:nvGraphicFramePr>
        <xdr:cNvPr id="5" name="Chart 4">
          <a:extLst>
            <a:ext uri="{FF2B5EF4-FFF2-40B4-BE49-F238E27FC236}">
              <a16:creationId xmlns:a16="http://schemas.microsoft.com/office/drawing/2014/main" id="{3F4424E5-D237-4B27-B67D-9B6814728F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isha k" refreshedDate="46085.767368287037" createdVersion="8" refreshedVersion="8" minRefreshableVersion="3" recordCount="500" xr:uid="{3773A751-21F8-4103-B7F6-45F10538353D}">
  <cacheSource type="worksheet">
    <worksheetSource name="Table1"/>
  </cacheSource>
  <cacheFields count="11">
    <cacheField name="Date" numFmtId="165">
      <sharedItems count="173">
        <s v="2025-06-26"/>
        <s v="2025-04-03"/>
        <s v="2025-05-18"/>
        <s v="2025-03-08"/>
        <s v="2025-05-04"/>
        <s v="2025-05-23"/>
        <s v="2025-06-19"/>
        <s v="2025-02-23"/>
        <s v="2025-03-19"/>
        <s v="2025-06-01"/>
        <s v="2025-05-19"/>
        <s v="2025-01-26"/>
        <s v="2025-01-18"/>
        <s v="2025-05-31"/>
        <s v="2025-06-30"/>
        <s v="2025-04-17"/>
        <s v="2025-01-31"/>
        <s v="2025-04-16"/>
        <s v="2025-03-31"/>
        <s v="2025-02-20"/>
        <s v="2025-03-23"/>
        <s v="2025-04-25"/>
        <s v="2025-06-04"/>
        <s v="2025-01-30"/>
        <s v="2025-03-13"/>
        <s v="2025-06-16"/>
        <s v="2025-01-22"/>
        <s v="2025-04-20"/>
        <s v="2025-02-16"/>
        <s v="2025-04-24"/>
        <s v="2025-05-28"/>
        <s v="2025-03-07"/>
        <s v="2025-01-04"/>
        <s v="2025-03-01"/>
        <s v="2025-05-02"/>
        <s v="2025-01-23"/>
        <s v="2025-02-11"/>
        <s v="2025-05-24"/>
        <s v="2025-02-04"/>
        <s v="2025-01-16"/>
        <s v="2025-06-21"/>
        <s v="2025-02-19"/>
        <s v="2025-05-30"/>
        <s v="2025-06-24"/>
        <s v="2025-02-28"/>
        <s v="2025-03-17"/>
        <s v="2025-01-06"/>
        <s v="2025-05-07"/>
        <s v="2025-03-20"/>
        <s v="2025-02-10"/>
        <s v="2025-06-13"/>
        <s v="2025-05-11"/>
        <s v="2025-01-09"/>
        <s v="2025-06-02"/>
        <s v="2025-02-03"/>
        <s v="2025-06-12"/>
        <s v="2025-01-20"/>
        <s v="2025-01-11"/>
        <s v="2025-06-11"/>
        <s v="2025-05-14"/>
        <s v="2025-01-10"/>
        <s v="2025-04-04"/>
        <s v="2025-04-23"/>
        <s v="2025-05-17"/>
        <s v="2025-04-09"/>
        <s v="2025-04-28"/>
        <s v="2025-06-09"/>
        <s v="2025-05-20"/>
        <s v="2025-01-15"/>
        <s v="2025-03-03"/>
        <s v="2025-05-21"/>
        <s v="2025-04-27"/>
        <s v="2025-03-30"/>
        <s v="2025-05-13"/>
        <s v="2025-03-12"/>
        <s v="2025-04-21"/>
        <s v="2025-04-26"/>
        <s v="2025-06-03"/>
        <s v="2025-06-18"/>
        <s v="2025-02-22"/>
        <s v="2025-04-12"/>
        <s v="2025-04-07"/>
        <s v="2025-03-05"/>
        <s v="2025-02-15"/>
        <s v="2025-02-12"/>
        <s v="2025-04-13"/>
        <s v="2025-03-11"/>
        <s v="2025-04-19"/>
        <s v="2025-02-24"/>
        <s v="2025-04-10"/>
        <s v="2025-06-08"/>
        <s v="2025-03-18"/>
        <s v="2025-01-25"/>
        <s v="2025-03-21"/>
        <s v="2025-02-09"/>
        <s v="2025-05-09"/>
        <s v="2025-05-05"/>
        <s v="2025-04-15"/>
        <s v="2025-02-25"/>
        <s v="2025-03-26"/>
        <s v="2025-02-21"/>
        <s v="2025-04-01"/>
        <s v="2025-03-29"/>
        <s v="2025-06-05"/>
        <s v="2025-01-01"/>
        <s v="2025-04-29"/>
        <s v="2025-03-24"/>
        <s v="2025-01-02"/>
        <s v="2025-05-26"/>
        <s v="2025-01-12"/>
        <s v="2025-03-16"/>
        <s v="2025-02-05"/>
        <s v="2025-03-04"/>
        <s v="2025-06-17"/>
        <s v="2025-06-29"/>
        <s v="2025-03-14"/>
        <s v="2025-04-22"/>
        <s v="2025-01-13"/>
        <s v="2025-06-15"/>
        <s v="2025-01-21"/>
        <s v="2025-04-05"/>
        <s v="2025-06-10"/>
        <s v="2025-06-06"/>
        <s v="2025-01-28"/>
        <s v="2025-01-05"/>
        <s v="2025-05-25"/>
        <s v="2025-02-27"/>
        <s v="2025-04-02"/>
        <s v="2025-04-08"/>
        <s v="2025-05-08"/>
        <s v="2025-06-23"/>
        <s v="2025-03-06"/>
        <s v="2025-01-03"/>
        <s v="2025-04-11"/>
        <s v="2025-03-28"/>
        <s v="2025-06-25"/>
        <s v="2025-03-25"/>
        <s v="2025-01-19"/>
        <s v="2025-01-08"/>
        <s v="2025-06-14"/>
        <s v="2025-03-10"/>
        <s v="2025-02-02"/>
        <s v="2025-03-22"/>
        <s v="2025-04-06"/>
        <s v="2025-05-22"/>
        <s v="2025-06-20"/>
        <s v="2025-05-10"/>
        <s v="2025-01-17"/>
        <s v="2025-01-27"/>
        <s v="2025-03-15"/>
        <s v="2025-01-07"/>
        <s v="2025-05-06"/>
        <s v="2025-06-27"/>
        <s v="2025-06-28"/>
        <s v="2025-05-16"/>
        <s v="2025-03-02"/>
        <s v="2025-02-18"/>
        <s v="2025-02-26"/>
        <s v="2025-04-14"/>
        <s v="2025-01-29"/>
        <s v="2025-05-15"/>
        <s v="2025-06-07"/>
        <s v="2025-02-07"/>
        <s v="2025-03-27"/>
        <s v="2025-02-06"/>
        <s v="2025-02-17"/>
        <s v="2025-05-03"/>
        <s v="2025-02-08"/>
        <s v="2025-06-22"/>
        <s v="2025-01-24"/>
        <s v="2025-05-01"/>
        <s v="2025-02-01"/>
        <s v="2025-02-13"/>
      </sharedItems>
      <fieldGroup par="10"/>
    </cacheField>
    <cacheField name="Order ID" numFmtId="0">
      <sharedItems count="500">
        <s v="ORD0001"/>
        <s v="ORD0002"/>
        <s v="ORD0003"/>
        <s v="ORD0004"/>
        <s v="ORD0005"/>
        <s v="ORD0006"/>
        <s v="ORD0007"/>
        <s v="ORD0008"/>
        <s v="ORD0009"/>
        <s v="ORD0010"/>
        <s v="ORD0011"/>
        <s v="ORD0012"/>
        <s v="ORD0013"/>
        <s v="ORD0014"/>
        <s v="ORD0015"/>
        <s v="ORD0016"/>
        <s v="ORD0017"/>
        <s v="ORD0018"/>
        <s v="ORD0019"/>
        <s v="ORD0020"/>
        <s v="ORD0021"/>
        <s v="ORD0022"/>
        <s v="ORD0023"/>
        <s v="ORD0024"/>
        <s v="ORD0025"/>
        <s v="ORD0026"/>
        <s v="ORD0027"/>
        <s v="ORD0028"/>
        <s v="ORD0029"/>
        <s v="ORD0030"/>
        <s v="ORD0031"/>
        <s v="ORD0032"/>
        <s v="ORD0033"/>
        <s v="ORD0034"/>
        <s v="ORD0035"/>
        <s v="ORD0036"/>
        <s v="ORD0037"/>
        <s v="ORD0038"/>
        <s v="ORD0039"/>
        <s v="ORD0040"/>
        <s v="ORD0041"/>
        <s v="ORD0042"/>
        <s v="ORD0043"/>
        <s v="ORD0044"/>
        <s v="ORD0045"/>
        <s v="ORD0046"/>
        <s v="ORD0047"/>
        <s v="ORD0048"/>
        <s v="ORD0049"/>
        <s v="ORD0050"/>
        <s v="ORD0051"/>
        <s v="ORD0052"/>
        <s v="ORD0053"/>
        <s v="ORD0054"/>
        <s v="ORD0055"/>
        <s v="ORD0056"/>
        <s v="ORD0057"/>
        <s v="ORD0058"/>
        <s v="ORD0059"/>
        <s v="ORD0060"/>
        <s v="ORD0061"/>
        <s v="ORD0062"/>
        <s v="ORD0063"/>
        <s v="ORD0064"/>
        <s v="ORD0065"/>
        <s v="ORD0066"/>
        <s v="ORD0067"/>
        <s v="ORD0068"/>
        <s v="ORD0069"/>
        <s v="ORD0070"/>
        <s v="ORD0071"/>
        <s v="ORD0072"/>
        <s v="ORD0073"/>
        <s v="ORD0074"/>
        <s v="ORD0075"/>
        <s v="ORD0076"/>
        <s v="ORD0077"/>
        <s v="ORD0078"/>
        <s v="ORD0079"/>
        <s v="ORD0080"/>
        <s v="ORD0081"/>
        <s v="ORD0082"/>
        <s v="ORD0083"/>
        <s v="ORD0084"/>
        <s v="ORD0085"/>
        <s v="ORD0086"/>
        <s v="ORD0087"/>
        <s v="ORD0088"/>
        <s v="ORD0089"/>
        <s v="ORD0090"/>
        <s v="ORD0091"/>
        <s v="ORD0092"/>
        <s v="ORD0093"/>
        <s v="ORD0094"/>
        <s v="ORD0095"/>
        <s v="ORD0096"/>
        <s v="ORD0097"/>
        <s v="ORD0098"/>
        <s v="ORD0099"/>
        <s v="ORD0100"/>
        <s v="ORD0101"/>
        <s v="ORD0102"/>
        <s v="ORD0103"/>
        <s v="ORD0104"/>
        <s v="ORD0105"/>
        <s v="ORD0106"/>
        <s v="ORD0107"/>
        <s v="ORD0108"/>
        <s v="ORD0109"/>
        <s v="ORD0110"/>
        <s v="ORD0111"/>
        <s v="ORD0112"/>
        <s v="ORD0113"/>
        <s v="ORD0114"/>
        <s v="ORD0115"/>
        <s v="ORD0116"/>
        <s v="ORD0117"/>
        <s v="ORD0118"/>
        <s v="ORD0119"/>
        <s v="ORD0120"/>
        <s v="ORD0121"/>
        <s v="ORD0122"/>
        <s v="ORD0123"/>
        <s v="ORD0124"/>
        <s v="ORD0125"/>
        <s v="ORD0126"/>
        <s v="ORD0127"/>
        <s v="ORD0128"/>
        <s v="ORD0129"/>
        <s v="ORD0130"/>
        <s v="ORD0131"/>
        <s v="ORD0132"/>
        <s v="ORD0133"/>
        <s v="ORD0134"/>
        <s v="ORD0135"/>
        <s v="ORD0136"/>
        <s v="ORD0137"/>
        <s v="ORD0138"/>
        <s v="ORD0139"/>
        <s v="ORD0140"/>
        <s v="ORD0141"/>
        <s v="ORD0142"/>
        <s v="ORD0143"/>
        <s v="ORD0144"/>
        <s v="ORD0145"/>
        <s v="ORD0146"/>
        <s v="ORD0147"/>
        <s v="ORD0148"/>
        <s v="ORD0149"/>
        <s v="ORD0150"/>
        <s v="ORD0151"/>
        <s v="ORD0152"/>
        <s v="ORD0153"/>
        <s v="ORD0154"/>
        <s v="ORD0155"/>
        <s v="ORD0156"/>
        <s v="ORD0157"/>
        <s v="ORD0158"/>
        <s v="ORD0159"/>
        <s v="ORD0160"/>
        <s v="ORD0161"/>
        <s v="ORD0162"/>
        <s v="ORD0163"/>
        <s v="ORD0164"/>
        <s v="ORD0165"/>
        <s v="ORD0166"/>
        <s v="ORD0167"/>
        <s v="ORD0168"/>
        <s v="ORD0169"/>
        <s v="ORD0170"/>
        <s v="ORD0171"/>
        <s v="ORD0172"/>
        <s v="ORD0173"/>
        <s v="ORD0174"/>
        <s v="ORD0175"/>
        <s v="ORD0176"/>
        <s v="ORD0177"/>
        <s v="ORD0178"/>
        <s v="ORD0179"/>
        <s v="ORD0180"/>
        <s v="ORD0181"/>
        <s v="ORD0182"/>
        <s v="ORD0183"/>
        <s v="ORD0184"/>
        <s v="ORD0185"/>
        <s v="ORD0186"/>
        <s v="ORD0187"/>
        <s v="ORD0188"/>
        <s v="ORD0189"/>
        <s v="ORD0190"/>
        <s v="ORD0191"/>
        <s v="ORD0192"/>
        <s v="ORD0193"/>
        <s v="ORD0194"/>
        <s v="ORD0195"/>
        <s v="ORD0196"/>
        <s v="ORD0197"/>
        <s v="ORD0198"/>
        <s v="ORD0199"/>
        <s v="ORD0200"/>
        <s v="ORD0201"/>
        <s v="ORD0202"/>
        <s v="ORD0203"/>
        <s v="ORD0204"/>
        <s v="ORD0205"/>
        <s v="ORD0206"/>
        <s v="ORD0207"/>
        <s v="ORD0208"/>
        <s v="ORD0209"/>
        <s v="ORD0210"/>
        <s v="ORD0211"/>
        <s v="ORD0212"/>
        <s v="ORD0213"/>
        <s v="ORD0214"/>
        <s v="ORD0215"/>
        <s v="ORD0216"/>
        <s v="ORD0217"/>
        <s v="ORD0218"/>
        <s v="ORD0219"/>
        <s v="ORD0220"/>
        <s v="ORD0221"/>
        <s v="ORD0222"/>
        <s v="ORD0223"/>
        <s v="ORD0224"/>
        <s v="ORD0225"/>
        <s v="ORD0226"/>
        <s v="ORD0227"/>
        <s v="ORD0228"/>
        <s v="ORD0229"/>
        <s v="ORD0230"/>
        <s v="ORD0231"/>
        <s v="ORD0232"/>
        <s v="ORD0233"/>
        <s v="ORD0234"/>
        <s v="ORD0235"/>
        <s v="ORD0236"/>
        <s v="ORD0237"/>
        <s v="ORD0238"/>
        <s v="ORD0239"/>
        <s v="ORD0240"/>
        <s v="ORD0241"/>
        <s v="ORD0242"/>
        <s v="ORD0243"/>
        <s v="ORD0244"/>
        <s v="ORD0245"/>
        <s v="ORD0246"/>
        <s v="ORD0247"/>
        <s v="ORD0248"/>
        <s v="ORD0249"/>
        <s v="ORD0250"/>
        <s v="ORD0251"/>
        <s v="ORD0252"/>
        <s v="ORD0253"/>
        <s v="ORD0254"/>
        <s v="ORD0255"/>
        <s v="ORD0256"/>
        <s v="ORD0257"/>
        <s v="ORD0258"/>
        <s v="ORD0259"/>
        <s v="ORD0260"/>
        <s v="ORD0261"/>
        <s v="ORD0262"/>
        <s v="ORD0263"/>
        <s v="ORD0264"/>
        <s v="ORD0265"/>
        <s v="ORD0266"/>
        <s v="ORD0267"/>
        <s v="ORD0268"/>
        <s v="ORD0269"/>
        <s v="ORD0270"/>
        <s v="ORD0271"/>
        <s v="ORD0272"/>
        <s v="ORD0273"/>
        <s v="ORD0274"/>
        <s v="ORD0275"/>
        <s v="ORD0276"/>
        <s v="ORD0277"/>
        <s v="ORD0278"/>
        <s v="ORD0279"/>
        <s v="ORD0280"/>
        <s v="ORD0281"/>
        <s v="ORD0282"/>
        <s v="ORD0283"/>
        <s v="ORD0284"/>
        <s v="ORD0285"/>
        <s v="ORD0286"/>
        <s v="ORD0287"/>
        <s v="ORD0288"/>
        <s v="ORD0289"/>
        <s v="ORD0290"/>
        <s v="ORD0291"/>
        <s v="ORD0292"/>
        <s v="ORD0293"/>
        <s v="ORD0294"/>
        <s v="ORD0295"/>
        <s v="ORD0296"/>
        <s v="ORD0297"/>
        <s v="ORD0298"/>
        <s v="ORD0299"/>
        <s v="ORD0300"/>
        <s v="ORD0301"/>
        <s v="ORD0302"/>
        <s v="ORD0303"/>
        <s v="ORD0304"/>
        <s v="ORD0305"/>
        <s v="ORD0306"/>
        <s v="ORD0307"/>
        <s v="ORD0308"/>
        <s v="ORD0309"/>
        <s v="ORD0310"/>
        <s v="ORD0311"/>
        <s v="ORD0312"/>
        <s v="ORD0313"/>
        <s v="ORD0314"/>
        <s v="ORD0315"/>
        <s v="ORD0316"/>
        <s v="ORD0317"/>
        <s v="ORD0318"/>
        <s v="ORD0319"/>
        <s v="ORD0320"/>
        <s v="ORD0321"/>
        <s v="ORD0322"/>
        <s v="ORD0323"/>
        <s v="ORD0324"/>
        <s v="ORD0325"/>
        <s v="ORD0326"/>
        <s v="ORD0327"/>
        <s v="ORD0328"/>
        <s v="ORD0329"/>
        <s v="ORD0330"/>
        <s v="ORD0331"/>
        <s v="ORD0332"/>
        <s v="ORD0333"/>
        <s v="ORD0334"/>
        <s v="ORD0335"/>
        <s v="ORD0336"/>
        <s v="ORD0337"/>
        <s v="ORD0338"/>
        <s v="ORD0339"/>
        <s v="ORD0340"/>
        <s v="ORD0341"/>
        <s v="ORD0342"/>
        <s v="ORD0343"/>
        <s v="ORD0344"/>
        <s v="ORD0345"/>
        <s v="ORD0346"/>
        <s v="ORD0347"/>
        <s v="ORD0348"/>
        <s v="ORD0349"/>
        <s v="ORD0350"/>
        <s v="ORD0351"/>
        <s v="ORD0352"/>
        <s v="ORD0353"/>
        <s v="ORD0354"/>
        <s v="ORD0355"/>
        <s v="ORD0356"/>
        <s v="ORD0357"/>
        <s v="ORD0358"/>
        <s v="ORD0359"/>
        <s v="ORD0360"/>
        <s v="ORD0361"/>
        <s v="ORD0362"/>
        <s v="ORD0363"/>
        <s v="ORD0364"/>
        <s v="ORD0365"/>
        <s v="ORD0366"/>
        <s v="ORD0367"/>
        <s v="ORD0368"/>
        <s v="ORD0369"/>
        <s v="ORD0370"/>
        <s v="ORD0371"/>
        <s v="ORD0372"/>
        <s v="ORD0373"/>
        <s v="ORD0374"/>
        <s v="ORD0375"/>
        <s v="ORD0376"/>
        <s v="ORD0377"/>
        <s v="ORD0378"/>
        <s v="ORD0379"/>
        <s v="ORD0380"/>
        <s v="ORD0381"/>
        <s v="ORD0382"/>
        <s v="ORD0383"/>
        <s v="ORD0384"/>
        <s v="ORD0385"/>
        <s v="ORD0386"/>
        <s v="ORD0387"/>
        <s v="ORD0388"/>
        <s v="ORD0389"/>
        <s v="ORD0390"/>
        <s v="ORD0391"/>
        <s v="ORD0392"/>
        <s v="ORD0393"/>
        <s v="ORD0394"/>
        <s v="ORD0395"/>
        <s v="ORD0396"/>
        <s v="ORD0397"/>
        <s v="ORD0398"/>
        <s v="ORD0399"/>
        <s v="ORD0400"/>
        <s v="ORD0401"/>
        <s v="ORD0402"/>
        <s v="ORD0403"/>
        <s v="ORD0404"/>
        <s v="ORD0405"/>
        <s v="ORD0406"/>
        <s v="ORD0407"/>
        <s v="ORD0408"/>
        <s v="ORD0409"/>
        <s v="ORD0410"/>
        <s v="ORD0411"/>
        <s v="ORD0412"/>
        <s v="ORD0413"/>
        <s v="ORD0414"/>
        <s v="ORD0415"/>
        <s v="ORD0416"/>
        <s v="ORD0417"/>
        <s v="ORD0418"/>
        <s v="ORD0419"/>
        <s v="ORD0420"/>
        <s v="ORD0421"/>
        <s v="ORD0422"/>
        <s v="ORD0423"/>
        <s v="ORD0424"/>
        <s v="ORD0425"/>
        <s v="ORD0426"/>
        <s v="ORD0427"/>
        <s v="ORD0428"/>
        <s v="ORD0429"/>
        <s v="ORD0430"/>
        <s v="ORD0431"/>
        <s v="ORD0432"/>
        <s v="ORD0433"/>
        <s v="ORD0434"/>
        <s v="ORD0435"/>
        <s v="ORD0436"/>
        <s v="ORD0437"/>
        <s v="ORD0438"/>
        <s v="ORD0439"/>
        <s v="ORD0440"/>
        <s v="ORD0441"/>
        <s v="ORD0442"/>
        <s v="ORD0443"/>
        <s v="ORD0444"/>
        <s v="ORD0445"/>
        <s v="ORD0446"/>
        <s v="ORD0447"/>
        <s v="ORD0448"/>
        <s v="ORD0449"/>
        <s v="ORD0450"/>
        <s v="ORD0451"/>
        <s v="ORD0452"/>
        <s v="ORD0453"/>
        <s v="ORD0454"/>
        <s v="ORD0455"/>
        <s v="ORD0456"/>
        <s v="ORD0457"/>
        <s v="ORD0458"/>
        <s v="ORD0459"/>
        <s v="ORD0460"/>
        <s v="ORD0461"/>
        <s v="ORD0462"/>
        <s v="ORD0463"/>
        <s v="ORD0464"/>
        <s v="ORD0465"/>
        <s v="ORD0466"/>
        <s v="ORD0467"/>
        <s v="ORD0468"/>
        <s v="ORD0469"/>
        <s v="ORD0470"/>
        <s v="ORD0471"/>
        <s v="ORD0472"/>
        <s v="ORD0473"/>
        <s v="ORD0474"/>
        <s v="ORD0475"/>
        <s v="ORD0476"/>
        <s v="ORD0477"/>
        <s v="ORD0478"/>
        <s v="ORD0479"/>
        <s v="ORD0480"/>
        <s v="ORD0481"/>
        <s v="ORD0482"/>
        <s v="ORD0483"/>
        <s v="ORD0484"/>
        <s v="ORD0485"/>
        <s v="ORD0486"/>
        <s v="ORD0487"/>
        <s v="ORD0488"/>
        <s v="ORD0489"/>
        <s v="ORD0490"/>
        <s v="ORD0491"/>
        <s v="ORD0492"/>
        <s v="ORD0493"/>
        <s v="ORD0494"/>
        <s v="ORD0495"/>
        <s v="ORD0496"/>
        <s v="ORD0497"/>
        <s v="ORD0498"/>
        <s v="ORD0499"/>
        <s v="ORD0500"/>
      </sharedItems>
    </cacheField>
    <cacheField name="Employee Name" numFmtId="0">
      <sharedItems count="6">
        <s v="Amit Sharma"/>
        <s v="Arjun Mehta"/>
        <s v="Sneha Iyer"/>
        <s v="Rohit Singh"/>
        <s v="Priya Verma"/>
        <s v="Neha Kapoor"/>
      </sharedItems>
    </cacheField>
    <cacheField name="Department" numFmtId="0">
      <sharedItems count="4">
        <s v="Electronics"/>
        <s v="Home Appliances"/>
        <s v="Clothing"/>
        <s v="Sports"/>
      </sharedItems>
    </cacheField>
    <cacheField name="Product" numFmtId="0">
      <sharedItems count="6">
        <s v="Laptop"/>
        <s v="Refrigerator"/>
        <s v="T-Shirt"/>
        <s v="Mobile"/>
        <s v="Microwave"/>
        <s v="Football"/>
      </sharedItems>
    </cacheField>
    <cacheField name="Category" numFmtId="0">
      <sharedItems count="4">
        <s v="Electronics"/>
        <s v="Home Appliances"/>
        <s v="Clothing"/>
        <s v="Sports"/>
      </sharedItems>
    </cacheField>
    <cacheField name="Quantity" numFmtId="1">
      <sharedItems containsSemiMixedTypes="0" containsString="0" containsNumber="1" containsInteger="1" minValue="1" maxValue="10" count="10">
        <n v="9"/>
        <n v="8"/>
        <n v="1"/>
        <n v="4"/>
        <n v="5"/>
        <n v="7"/>
        <n v="6"/>
        <n v="10"/>
        <n v="3"/>
        <n v="2"/>
      </sharedItems>
    </cacheField>
    <cacheField name="Unit Price" numFmtId="164">
      <sharedItems containsSemiMixedTypes="0" containsString="0" containsNumber="1" minValue="723.22" maxValue="60331.040000000001" count="500">
        <n v="55100.47"/>
        <n v="31288.01"/>
        <n v="782.37"/>
        <n v="23125.7"/>
        <n v="25342.31"/>
        <n v="11740.44"/>
        <n v="52569.67"/>
        <n v="59635.83"/>
        <n v="868.14"/>
        <n v="27053.69"/>
        <n v="750.86"/>
        <n v="55636.02"/>
        <n v="25679.31"/>
        <n v="27124.7"/>
        <n v="53956.7"/>
        <n v="1457.5"/>
        <n v="58590.38"/>
        <n v="24849.27"/>
        <n v="23928.85"/>
        <n v="754.38"/>
        <n v="763.57"/>
        <n v="50674.82"/>
        <n v="11244.22"/>
        <n v="12824.32"/>
        <n v="730.64"/>
        <n v="734.01"/>
        <n v="27372.57"/>
        <n v="24521.33"/>
        <n v="1428.3"/>
        <n v="31807.69"/>
        <n v="31955.42"/>
        <n v="32802.089999999997"/>
        <n v="52686.75"/>
        <n v="1470.21"/>
        <n v="12471.43"/>
        <n v="32691.1"/>
        <n v="1350.76"/>
        <n v="864.53"/>
        <n v="11222.69"/>
        <n v="868.16"/>
        <n v="29701.73"/>
        <n v="1580.5"/>
        <n v="55846.09"/>
        <n v="26092.03"/>
        <n v="10990.64"/>
        <n v="52551.57"/>
        <n v="1412.8"/>
        <n v="11440.05"/>
        <n v="1508.23"/>
        <n v="57528.89"/>
        <n v="27325.759999999998"/>
        <n v="871.53"/>
        <n v="59015.38"/>
        <n v="27648.77"/>
        <n v="874.63"/>
        <n v="50301.43"/>
        <n v="790.6"/>
        <n v="805.98"/>
        <n v="797.64"/>
        <n v="11665.31"/>
        <n v="26922.54"/>
        <n v="1476.42"/>
        <n v="56625.7"/>
        <n v="1439.57"/>
        <n v="12810.61"/>
        <n v="57665.65"/>
        <n v="11557.54"/>
        <n v="29749.38"/>
        <n v="52442.47"/>
        <n v="26662.2"/>
        <n v="31584.15"/>
        <n v="1446.42"/>
        <n v="1416.6"/>
        <n v="865.46"/>
        <n v="25206.52"/>
        <n v="50243.72"/>
        <n v="30084.28"/>
        <n v="823.79"/>
        <n v="1611.13"/>
        <n v="1538.42"/>
        <n v="1403.51"/>
        <n v="30617.05"/>
        <n v="813.26"/>
        <n v="24487.33"/>
        <n v="27997.33"/>
        <n v="1438.76"/>
        <n v="11919.66"/>
        <n v="1408.17"/>
        <n v="1569.6"/>
        <n v="32740.85"/>
        <n v="10841.83"/>
        <n v="32069.55"/>
        <n v="723.22"/>
        <n v="25838.44"/>
        <n v="13020.88"/>
        <n v="23530.26"/>
        <n v="32926.910000000003"/>
        <n v="56792.36"/>
        <n v="1529.59"/>
        <n v="10920.61"/>
        <n v="748.44"/>
        <n v="797.51"/>
        <n v="57092.53"/>
        <n v="56433.61"/>
        <n v="26218.639999999999"/>
        <n v="752.06"/>
        <n v="23565.71"/>
        <n v="11588.58"/>
        <n v="28667.17"/>
        <n v="32381.26"/>
        <n v="26363.4"/>
        <n v="1437.34"/>
        <n v="1538.82"/>
        <n v="60148.73"/>
        <n v="11254.4"/>
        <n v="25106.43"/>
        <n v="54964.86"/>
        <n v="1468.99"/>
        <n v="29159.43"/>
        <n v="1453.37"/>
        <n v="24027.37"/>
        <n v="32462.959999999999"/>
        <n v="12416.43"/>
        <n v="27895.06"/>
        <n v="1627.58"/>
        <n v="28463.07"/>
        <n v="30961.61"/>
        <n v="28719.49"/>
        <n v="827.54"/>
        <n v="1410.64"/>
        <n v="12823.53"/>
        <n v="758.69"/>
        <n v="23154.29"/>
        <n v="1580"/>
        <n v="30259.99"/>
        <n v="1521.79"/>
        <n v="53719.16"/>
        <n v="27640.080000000002"/>
        <n v="27053.11"/>
        <n v="777.98"/>
        <n v="53511.32"/>
        <n v="55500.67"/>
        <n v="31269.69"/>
        <n v="1518.87"/>
        <n v="10867.57"/>
        <n v="25014.58"/>
        <n v="778.73"/>
        <n v="60331.040000000001"/>
        <n v="49816.3"/>
        <n v="27274"/>
        <n v="1534.32"/>
        <n v="12612.8"/>
        <n v="51814.63"/>
        <n v="11822.99"/>
        <n v="13158.35"/>
        <n v="22735.75"/>
        <n v="30719.73"/>
        <n v="1641.89"/>
        <n v="1520.52"/>
        <n v="13096.42"/>
        <n v="58823.94"/>
        <n v="58769.13"/>
        <n v="752.23"/>
        <n v="24880"/>
        <n v="29005.51"/>
        <n v="25372.45"/>
        <n v="51400.36"/>
        <n v="11402.13"/>
        <n v="1519.24"/>
        <n v="773.12"/>
        <n v="23742.59"/>
        <n v="817.26"/>
        <n v="31087.06"/>
        <n v="30087.15"/>
        <n v="12138.29"/>
        <n v="12694.9"/>
        <n v="831.66"/>
        <n v="870.23"/>
        <n v="13110.9"/>
        <n v="11441.5"/>
        <n v="58393.14"/>
        <n v="1604.14"/>
        <n v="1538.9"/>
        <n v="31341.09"/>
        <n v="23414.16"/>
        <n v="28942.02"/>
        <n v="60225.02"/>
        <n v="59755.69"/>
        <n v="28556.27"/>
        <n v="744.33"/>
        <n v="12895.39"/>
        <n v="12074.43"/>
        <n v="30408.13"/>
        <n v="11492.83"/>
        <n v="53116.73"/>
        <n v="764.96"/>
        <n v="12947.27"/>
        <n v="24947.599999999999"/>
        <n v="10859.15"/>
        <n v="29764.18"/>
        <n v="31670.89"/>
        <n v="1490.01"/>
        <n v="54190.400000000001"/>
        <n v="793.7"/>
        <n v="24629.98"/>
        <n v="1403.54"/>
        <n v="12179.91"/>
        <n v="30401.53"/>
        <n v="31490.76"/>
        <n v="12705.47"/>
        <n v="1483.76"/>
        <n v="11867.66"/>
        <n v="28542.62"/>
        <n v="10818.82"/>
        <n v="1406.75"/>
        <n v="52727.38"/>
        <n v="51557.59"/>
        <n v="31099.09"/>
        <n v="747.29"/>
        <n v="51067.15"/>
        <n v="59970.22"/>
        <n v="1410.03"/>
        <n v="27145.03"/>
        <n v="12278.28"/>
        <n v="12809.27"/>
        <n v="27175.32"/>
        <n v="11617.48"/>
        <n v="50794.33"/>
        <n v="1476.45"/>
        <n v="26912.46"/>
        <n v="1564.44"/>
        <n v="804.51"/>
        <n v="51220.19"/>
        <n v="23738.31"/>
        <n v="28558.02"/>
        <n v="745.47"/>
        <n v="724.26"/>
        <n v="22787.119999999999"/>
        <n v="24409.77"/>
        <n v="31446.14"/>
        <n v="25560.12"/>
        <n v="25647.43"/>
        <n v="23909.29"/>
        <n v="25764.3"/>
        <n v="1518.42"/>
        <n v="726.3"/>
        <n v="1632.27"/>
        <n v="29905.08"/>
        <n v="1568.32"/>
        <n v="27676.639999999999"/>
        <n v="807.82"/>
        <n v="1580.57"/>
        <n v="32763.99"/>
        <n v="13169.78"/>
        <n v="13131.44"/>
        <n v="27926.5"/>
        <n v="49845.43"/>
        <n v="1498.43"/>
        <n v="800.65"/>
        <n v="28568.82"/>
        <n v="1551.96"/>
        <n v="51607.360000000001"/>
        <n v="25490.560000000001"/>
        <n v="853.4"/>
        <n v="11489.28"/>
        <n v="11508.41"/>
        <n v="1426.81"/>
        <n v="1642.28"/>
        <n v="12756.55"/>
        <n v="22673.42"/>
        <n v="775.24"/>
        <n v="1633.5"/>
        <n v="23255.06"/>
        <n v="29478.92"/>
        <n v="30784.79"/>
        <n v="11110.29"/>
        <n v="24151.13"/>
        <n v="12016.39"/>
        <n v="51164.21"/>
        <n v="11414.31"/>
        <n v="769.68"/>
        <n v="1486.97"/>
        <n v="1359.37"/>
        <n v="12254.03"/>
        <n v="30586.639999999999"/>
        <n v="1501.92"/>
        <n v="12090.84"/>
        <n v="32534.19"/>
        <n v="31938.3"/>
        <n v="785.45"/>
        <n v="1532.82"/>
        <n v="23053.61"/>
        <n v="28758.38"/>
        <n v="27030.65"/>
        <n v="32255.79"/>
        <n v="28975.52"/>
        <n v="11745.15"/>
        <n v="1591.21"/>
        <n v="746.6"/>
        <n v="55749.86"/>
        <n v="59825.93"/>
        <n v="1647.32"/>
        <n v="12202.5"/>
        <n v="26960.3"/>
        <n v="11947.72"/>
        <n v="27171.89"/>
        <n v="29618.97"/>
        <n v="24879.98"/>
        <n v="30511.56"/>
        <n v="31588.44"/>
        <n v="1527.39"/>
        <n v="51800.47"/>
        <n v="32128.23"/>
        <n v="1417.43"/>
        <n v="1422.93"/>
        <n v="23254.09"/>
        <n v="1404.23"/>
        <n v="31615.75"/>
        <n v="1550.16"/>
        <n v="32095.03"/>
        <n v="27993.91"/>
        <n v="24199.41"/>
        <n v="53053.2"/>
        <n v="743.42"/>
        <n v="11113.22"/>
        <n v="1475.11"/>
        <n v="765.37"/>
        <n v="778.96"/>
        <n v="12197.22"/>
        <n v="1572.96"/>
        <n v="739.19"/>
        <n v="26352.21"/>
        <n v="1644.4"/>
        <n v="28659.96"/>
        <n v="24741.48"/>
        <n v="23115.19"/>
        <n v="1453.73"/>
        <n v="51992.39"/>
        <n v="31866.63"/>
        <n v="29242.68"/>
        <n v="30264.85"/>
        <n v="1579.67"/>
        <n v="12015.12"/>
        <n v="53821.01"/>
        <n v="25494.97"/>
        <n v="54147.8"/>
        <n v="22543.19"/>
        <n v="1540.56"/>
        <n v="27038.799999999999"/>
        <n v="31778.75"/>
        <n v="869.42"/>
        <n v="58471.99"/>
        <n v="1470.62"/>
        <n v="856.24"/>
        <n v="56985.94"/>
        <n v="1429.27"/>
        <n v="1552.82"/>
        <n v="23345.83"/>
        <n v="55122.32"/>
        <n v="60243.23"/>
        <n v="12532.4"/>
        <n v="23248.28"/>
        <n v="25426.48"/>
        <n v="28075.11"/>
        <n v="30719.39"/>
        <n v="30172.33"/>
        <n v="11196.75"/>
        <n v="57716.19"/>
        <n v="775.08"/>
        <n v="25864.15"/>
        <n v="26454.31"/>
        <n v="11148.6"/>
        <n v="32365.41"/>
        <n v="56203.81"/>
        <n v="31956.66"/>
        <n v="25265.71"/>
        <n v="12035.5"/>
        <n v="56353.54"/>
        <n v="51405.08"/>
        <n v="11593.05"/>
        <n v="12012.44"/>
        <n v="747.69"/>
        <n v="26669.16"/>
        <n v="25842.78"/>
        <n v="723.44"/>
        <n v="53221.81"/>
        <n v="829.57"/>
        <n v="777.49"/>
        <n v="31188.65"/>
        <n v="23937.86"/>
        <n v="1396.76"/>
        <n v="49725.33"/>
        <n v="31031.97"/>
        <n v="58172.59"/>
        <n v="1548.59"/>
        <n v="49982.51"/>
        <n v="56768.7"/>
        <n v="22724.04"/>
        <n v="51449.56"/>
        <n v="12906.63"/>
        <n v="1431.79"/>
        <n v="875.66"/>
        <n v="1526.84"/>
        <n v="11691.77"/>
        <n v="1568.84"/>
        <n v="12088.8"/>
        <n v="29869.68"/>
        <n v="1577.84"/>
        <n v="29886.75"/>
        <n v="58871.41"/>
        <n v="50525.67"/>
        <n v="27368.99"/>
        <n v="875.04"/>
        <n v="11339.12"/>
        <n v="1446.85"/>
        <n v="29025.37"/>
        <n v="1381.23"/>
        <n v="22891.14"/>
        <n v="1505.41"/>
        <n v="12917.72"/>
        <n v="12267.53"/>
        <n v="22823.919999999998"/>
        <n v="26233.64"/>
        <n v="56642.47"/>
        <n v="27464.49"/>
        <n v="879.72"/>
        <n v="1514.05"/>
        <n v="49669.96"/>
        <n v="13117.27"/>
        <n v="31658.93"/>
        <n v="58608.28"/>
        <n v="1621.88"/>
        <n v="27385"/>
        <n v="50983.14"/>
        <n v="830.44"/>
        <n v="11318.8"/>
        <n v="791.5"/>
        <n v="824.03"/>
        <n v="23860.65"/>
        <n v="856.36"/>
        <n v="12155.14"/>
        <n v="54170.57"/>
        <n v="1506.28"/>
        <n v="10872.74"/>
        <n v="772.3"/>
        <n v="22673.23"/>
        <n v="1377.75"/>
        <n v="27065.58"/>
        <n v="54751.199999999997"/>
        <n v="28515.68"/>
        <n v="11356.04"/>
        <n v="24878.79"/>
        <n v="23162.14"/>
        <n v="793.25"/>
        <n v="30851.37"/>
        <n v="1627.87"/>
        <n v="1610.02"/>
        <n v="1539.69"/>
        <n v="59012.57"/>
        <n v="26520.9"/>
        <n v="840.99"/>
        <n v="28344.92"/>
        <n v="27095.200000000001"/>
        <n v="53253.39"/>
        <n v="23636.54"/>
        <n v="29666.21"/>
        <n v="11519.97"/>
        <n v="29709.62"/>
        <n v="23523.95"/>
        <n v="11254.8"/>
        <n v="1496.67"/>
        <n v="25060.21"/>
        <n v="26674.73"/>
        <n v="25325.919999999998"/>
        <n v="27521.8"/>
        <n v="11712.8"/>
        <n v="28705.3"/>
        <n v="805.76"/>
        <n v="22977.279999999999"/>
        <n v="729.57"/>
        <n v="846.63"/>
        <n v="31401.72"/>
        <n v="25471.77"/>
        <n v="27839.74"/>
        <n v="58335.72"/>
        <n v="840.7"/>
        <n v="1586.27"/>
        <n v="30691.73"/>
        <n v="32388.54"/>
        <n v="27387.040000000001"/>
        <n v="1616.39"/>
        <n v="25433.85"/>
        <n v="802.44"/>
        <n v="24356.78"/>
        <n v="29198.06"/>
        <n v="812.99"/>
        <n v="11168.87"/>
        <n v="1373.71"/>
        <n v="1614.23"/>
        <n v="27005.35"/>
      </sharedItems>
    </cacheField>
    <cacheField name="Region" numFmtId="0">
      <sharedItems count="4">
        <s v="West"/>
        <s v="East"/>
        <s v="South"/>
        <s v="North"/>
      </sharedItems>
    </cacheField>
    <cacheField name="Total Sales" numFmtId="164">
      <sharedItems containsSemiMixedTypes="0" containsString="0" containsNumber="1" minValue="748.44" maxValue="599702.19999999995" count="500">
        <n v="495904.23"/>
        <n v="250304.08"/>
        <n v="782.37"/>
        <n v="92502.8"/>
        <n v="228080.79"/>
        <n v="58702.2"/>
        <n v="367987.69"/>
        <n v="59635.83"/>
        <n v="6945.12"/>
        <n v="189375.83"/>
        <n v="6006.88"/>
        <n v="55636.02"/>
        <n v="154075.85999999999"/>
        <n v="189872.9"/>
        <n v="269783.5"/>
        <n v="14575"/>
        <n v="175771.14"/>
        <n v="24849.27"/>
        <n v="95715.4"/>
        <n v="6035.04"/>
        <n v="4581.42"/>
        <n v="50674.82"/>
        <n v="33732.660000000003"/>
        <n v="25648.639999999999"/>
        <n v="6575.76"/>
        <n v="6606.09"/>
        <n v="273725.7"/>
        <n v="122606.65"/>
        <n v="1428.3"/>
        <n v="127230.76"/>
        <n v="95866.26"/>
        <n v="295218.81"/>
        <n v="263433.75"/>
        <n v="2940.42"/>
        <n v="112242.87"/>
        <n v="32691.1"/>
        <n v="2701.52"/>
        <n v="8645.2999999999993"/>
        <n v="67336.14"/>
        <n v="2604.48"/>
        <n v="59403.46"/>
        <n v="14224.5"/>
        <n v="111692.18"/>
        <n v="26092.03"/>
        <n v="109906.4"/>
        <n v="262757.84999999998"/>
        <n v="14128"/>
        <n v="114400.5"/>
        <n v="4524.6899999999996"/>
        <n v="460231.12"/>
        <n v="27325.759999999998"/>
        <n v="5229.18"/>
        <n v="59015.38"/>
        <n v="248838.93"/>
        <n v="4373.1499999999996"/>
        <n v="402411.44"/>
        <n v="4743.6000000000004"/>
        <n v="8059.8"/>
        <n v="6381.12"/>
        <n v="46661.24"/>
        <n v="188457.78"/>
        <n v="8858.52"/>
        <n v="169877.1"/>
        <n v="2879.14"/>
        <n v="128106.1"/>
        <n v="461325.2"/>
        <n v="34672.620000000003"/>
        <n v="178496.28"/>
        <n v="104884.94"/>
        <n v="213297.6"/>
        <n v="63168.3"/>
        <n v="8678.52"/>
        <n v="8499.6"/>
        <n v="6058.22"/>
        <n v="126032.6"/>
        <n v="502437.2"/>
        <n v="180505.68"/>
        <n v="4942.74"/>
        <n v="4833.3900000000003"/>
        <n v="3076.84"/>
        <n v="2807.02"/>
        <n v="122468.2"/>
        <n v="6506.08"/>
        <n v="220385.97"/>
        <n v="195981.31"/>
        <n v="8632.56"/>
        <n v="71517.960000000006"/>
        <n v="1408.17"/>
        <n v="7848"/>
        <n v="65481.7"/>
        <n v="10841.83"/>
        <n v="224486.85"/>
        <n v="5785.76"/>
        <n v="258384.4"/>
        <n v="13020.88"/>
        <n v="164711.82"/>
        <n v="65853.820000000007"/>
        <n v="170377.08"/>
        <n v="15295.9"/>
        <n v="65523.66"/>
        <n v="748.44"/>
        <n v="2392.5300000000002"/>
        <n v="285462.65000000002"/>
        <n v="451468.88"/>
        <n v="183530.48"/>
        <n v="2256.1799999999998"/>
        <n v="23565.71"/>
        <n v="11588.58"/>
        <n v="229337.36"/>
        <n v="291431.34000000003"/>
        <n v="263634"/>
        <n v="12936.06"/>
        <n v="1538.82"/>
        <n v="481189.84"/>
        <n v="33763.199999999997"/>
        <n v="50212.86"/>
        <n v="164894.57999999999"/>
        <n v="7344.95"/>
        <n v="145797.15"/>
        <n v="10173.59"/>
        <n v="96109.48"/>
        <n v="259703.67999999999"/>
        <n v="124164.3"/>
        <n v="251055.54"/>
        <n v="1627.58"/>
        <n v="56926.14"/>
        <n v="61923.22"/>
        <n v="86158.47"/>
        <n v="5792.78"/>
        <n v="9874.48"/>
        <n v="51294.12"/>
        <n v="6069.52"/>
        <n v="92617.16"/>
        <n v="1580"/>
        <n v="60519.98"/>
        <n v="7608.95"/>
        <n v="268595.8"/>
        <n v="138200.4"/>
        <n v="243477.99"/>
        <n v="777.98"/>
        <n v="160533.96"/>
        <n v="444005.36"/>
        <n v="218887.83"/>
        <n v="12150.96"/>
        <n v="76072.990000000005"/>
        <n v="225131.22"/>
        <n v="6229.84"/>
        <n v="60331.040000000001"/>
        <n v="199265.2"/>
        <n v="54548"/>
        <n v="12274.56"/>
        <n v="37838.400000000001"/>
        <n v="103629.26"/>
        <n v="106406.91"/>
        <n v="13158.35"/>
        <n v="227357.5"/>
        <n v="153598.65"/>
        <n v="6567.56"/>
        <n v="13684.68"/>
        <n v="78578.52"/>
        <n v="117647.88"/>
        <n v="176307.39"/>
        <n v="4513.38"/>
        <n v="49760"/>
        <n v="58011.02"/>
        <n v="25372.45"/>
        <n v="462603.24"/>
        <n v="22804.26"/>
        <n v="7596.2"/>
        <n v="773.12"/>
        <n v="71227.77"/>
        <n v="6538.08"/>
        <n v="186522.36"/>
        <n v="210610.05"/>
        <n v="24276.58"/>
        <n v="88864.3"/>
        <n v="4158.3"/>
        <n v="3480.92"/>
        <n v="13110.9"/>
        <n v="34324.5"/>
        <n v="291965.7"/>
        <n v="11228.98"/>
        <n v="3077.8"/>
        <n v="62682.18"/>
        <n v="70242.48"/>
        <n v="231536.16"/>
        <n v="361350.12"/>
        <n v="119511.38"/>
        <n v="28556.27"/>
        <n v="5210.3100000000004"/>
        <n v="90267.73"/>
        <n v="84521.01"/>
        <n v="212856.91"/>
        <n v="114928.3"/>
        <n v="371817.11"/>
        <n v="7649.6"/>
        <n v="64736.35"/>
        <n v="174633.2"/>
        <n v="54295.75"/>
        <n v="119056.72"/>
        <n v="95012.67"/>
        <n v="8940.06"/>
        <n v="270952"/>
        <n v="4762.2"/>
        <n v="123149.9"/>
        <n v="11228.32"/>
        <n v="12179.91"/>
        <n v="212810.71"/>
        <n v="31490.76"/>
        <n v="114349.23"/>
        <n v="1483.76"/>
        <n v="11867.66"/>
        <n v="285426.2"/>
        <n v="97369.38"/>
        <n v="11254"/>
        <n v="474546.42"/>
        <n v="412460.72"/>
        <n v="155495.45000000001"/>
        <n v="5231.03"/>
        <n v="357470.05"/>
        <n v="599702.19999999995"/>
        <n v="4230.09"/>
        <n v="135725.15"/>
        <n v="36834.839999999997"/>
        <n v="38427.81"/>
        <n v="81525.960000000006"/>
        <n v="34852.44"/>
        <n v="507943.3"/>
        <n v="2952.9"/>
        <n v="26912.46"/>
        <n v="6257.76"/>
        <n v="2413.5300000000002"/>
        <n v="307321.14"/>
        <n v="166168.17000000001"/>
        <n v="57116.04"/>
        <n v="7454.7"/>
        <n v="5794.08"/>
        <n v="68361.36"/>
        <n v="146458.62"/>
        <n v="94338.42"/>
        <n v="127800.6"/>
        <n v="76942.289999999994"/>
        <n v="191274.32"/>
        <n v="206114.4"/>
        <n v="12147.36"/>
        <n v="1452.6"/>
        <n v="9793.6200000000008"/>
        <n v="29905.08"/>
        <n v="10978.24"/>
        <n v="166059.84"/>
        <n v="8078.2"/>
        <n v="4741.71"/>
        <n v="294875.90999999997"/>
        <n v="65848.899999999994"/>
        <n v="118182.96"/>
        <n v="139632.5"/>
        <n v="199381.72"/>
        <n v="5993.72"/>
        <n v="6405.2"/>
        <n v="85706.46"/>
        <n v="9311.76"/>
        <n v="464466.24"/>
        <n v="152943.35999999999"/>
        <n v="5120.3999999999996"/>
        <n v="80424.960000000006"/>
        <n v="80558.87"/>
        <n v="7134.05"/>
        <n v="1642.28"/>
        <n v="38269.65"/>
        <n v="90693.68"/>
        <n v="3100.96"/>
        <n v="1633.5"/>
        <n v="93020.24"/>
        <n v="147394.6"/>
        <n v="215493.53"/>
        <n v="88882.32"/>
        <n v="241511.3"/>
        <n v="60081.95"/>
        <n v="358149.47"/>
        <n v="91314.48"/>
        <n v="2309.04"/>
        <n v="8921.82"/>
        <n v="9515.59"/>
        <n v="49016.12"/>
        <n v="214106.48"/>
        <n v="9011.52"/>
        <n v="36272.519999999997"/>
        <n v="195205.14"/>
        <n v="63876.6"/>
        <n v="2356.35"/>
        <n v="9196.92"/>
        <n v="23053.61"/>
        <n v="201308.66"/>
        <n v="216245.2"/>
        <n v="96767.37"/>
        <n v="115902.08"/>
        <n v="23490.3"/>
        <n v="11138.47"/>
        <n v="4479.6000000000004"/>
        <n v="278749.3"/>
        <n v="358955.58"/>
        <n v="3294.64"/>
        <n v="12202.5"/>
        <n v="188722.1"/>
        <n v="59738.6"/>
        <n v="163031.34"/>
        <n v="29618.97"/>
        <n v="223919.82"/>
        <n v="91534.68"/>
        <n v="126353.76"/>
        <n v="1527.39"/>
        <n v="207201.88"/>
        <n v="32128.23"/>
        <n v="9922.01"/>
        <n v="9960.51"/>
        <n v="93016.36"/>
        <n v="4212.6899999999996"/>
        <n v="316157.5"/>
        <n v="1550.16"/>
        <n v="96285.09"/>
        <n v="55987.82"/>
        <n v="24199.41"/>
        <n v="371372.4"/>
        <n v="5203.9399999999996"/>
        <n v="88905.76"/>
        <n v="14751.1"/>
        <n v="6122.96"/>
        <n v="7789.6"/>
        <n v="48788.88"/>
        <n v="9437.76"/>
        <n v="4435.1400000000003"/>
        <n v="52704.42"/>
        <n v="9866.4"/>
        <n v="28659.96"/>
        <n v="24741.48"/>
        <n v="115575.95"/>
        <n v="7268.65"/>
        <n v="155977.17000000001"/>
        <n v="63733.26"/>
        <n v="116970.72"/>
        <n v="272383.65000000002"/>
        <n v="11057.69"/>
        <n v="60075.6"/>
        <n v="53821.01"/>
        <n v="178464.79"/>
        <n v="487330.2"/>
        <n v="157802.32999999999"/>
        <n v="7702.8"/>
        <n v="243349.2"/>
        <n v="190672.5"/>
        <n v="869.42"/>
        <n v="58471.99"/>
        <n v="2941.24"/>
        <n v="1712.48"/>
        <n v="56985.94"/>
        <n v="1429.27"/>
        <n v="10869.74"/>
        <n v="233458.3"/>
        <n v="220489.28"/>
        <n v="240972.92"/>
        <n v="12532.4"/>
        <n v="23248.28"/>
        <n v="101705.92"/>
        <n v="112300.44"/>
        <n v="153596.95000000001"/>
        <n v="181033.98"/>
        <n v="78377.25"/>
        <n v="346297.14"/>
        <n v="6200.64"/>
        <n v="258641.5"/>
        <n v="132271.54999999999"/>
        <n v="11148.6"/>
        <n v="226557.87"/>
        <n v="505834.29"/>
        <n v="63913.32"/>
        <n v="151594.26"/>
        <n v="36106.5"/>
        <n v="281767.7"/>
        <n v="359835.56"/>
        <n v="81151.350000000006"/>
        <n v="84087.08"/>
        <n v="4486.1400000000003"/>
        <n v="266691.59999999998"/>
        <n v="155056.68"/>
        <n v="5787.52"/>
        <n v="319330.86"/>
        <n v="8295.7000000000007"/>
        <n v="1554.98"/>
        <n v="218320.55"/>
        <n v="23937.86"/>
        <n v="9777.32"/>
        <n v="447527.97"/>
        <n v="217223.79"/>
        <n v="581725.9"/>
        <n v="6194.36"/>
        <n v="199930.04"/>
        <n v="227074.8"/>
        <n v="136344.24"/>
        <n v="463046.04"/>
        <n v="90346.41"/>
        <n v="14317.9"/>
        <n v="4378.3"/>
        <n v="6107.36"/>
        <n v="35075.31"/>
        <n v="15688.4"/>
        <n v="60444"/>
        <n v="149348.4"/>
        <n v="12622.72"/>
        <n v="209207.25"/>
        <n v="412099.87"/>
        <n v="404205.36"/>
        <n v="273689.90000000002"/>
        <n v="4375.2"/>
        <n v="45356.480000000003"/>
        <n v="13021.65"/>
        <n v="232202.96"/>
        <n v="9668.61"/>
        <n v="183129.12"/>
        <n v="15054.1"/>
        <n v="116259.48"/>
        <n v="110407.77"/>
        <n v="182591.35999999999"/>
        <n v="78700.92"/>
        <n v="396497.29"/>
        <n v="82393.47"/>
        <n v="879.72"/>
        <n v="10598.35"/>
        <n v="496699.6"/>
        <n v="131172.70000000001"/>
        <n v="284930.37"/>
        <n v="293041.40000000002"/>
        <n v="12975.04"/>
        <n v="273850"/>
        <n v="50983.14"/>
        <n v="6643.52"/>
        <n v="90550.399999999994"/>
        <n v="3166"/>
        <n v="2472.09"/>
        <n v="190885.2"/>
        <n v="5138.16"/>
        <n v="121551.4"/>
        <n v="325023.42"/>
        <n v="6025.12"/>
        <n v="86981.92"/>
        <n v="7723"/>
        <n v="136039.38"/>
        <n v="13777.5"/>
        <n v="162393.48000000001"/>
        <n v="273756"/>
        <n v="256641.12"/>
        <n v="113560.4"/>
        <n v="174151.53"/>
        <n v="231621.4"/>
        <n v="5552.75"/>
        <n v="61702.74"/>
        <n v="11395.09"/>
        <n v="12880.16"/>
        <n v="12317.52"/>
        <n v="177037.71"/>
        <n v="265209"/>
        <n v="5886.93"/>
        <n v="141724.6"/>
        <n v="162571.20000000001"/>
        <n v="106506.78"/>
        <n v="70909.62"/>
        <n v="59332.42"/>
        <n v="69119.820000000007"/>
        <n v="237676.96"/>
        <n v="164667.65"/>
        <n v="112548"/>
        <n v="7483.35"/>
        <n v="250602.1"/>
        <n v="240072.57"/>
        <n v="50651.839999999997"/>
        <n v="165130.79999999999"/>
        <n v="81989.600000000006"/>
        <n v="86115.9"/>
        <n v="5640.32"/>
        <n v="114886.39999999999"/>
        <n v="3647.85"/>
        <n v="1693.26"/>
        <n v="125606.88"/>
        <n v="50943.54"/>
        <n v="83519.22"/>
        <n v="175007.16"/>
        <n v="5044.2"/>
        <n v="3172.54"/>
        <n v="214842.11"/>
        <n v="226719.78"/>
        <n v="109548.16"/>
        <n v="3232.78"/>
        <n v="50867.7"/>
        <n v="5617.08"/>
        <n v="243567.8"/>
        <n v="262782.53999999998"/>
        <n v="4877.9399999999996"/>
        <n v="111688.7"/>
        <n v="1373.71"/>
        <n v="3228.46"/>
        <n v="162032.1"/>
      </sharedItems>
    </cacheField>
    <cacheField name="Date2" numFmtId="0" databaseField="0">
      <fieldGroup base="0">
        <discretePr count="173">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discretePr>
        <groupItems count="1">
          <s v="Group1"/>
        </groupItems>
      </fieldGroup>
    </cacheField>
  </cacheFields>
  <extLst>
    <ext xmlns:x14="http://schemas.microsoft.com/office/spreadsheetml/2009/9/main" uri="{725AE2AE-9491-48be-B2B4-4EB974FC3084}">
      <x14:pivotCacheDefinition pivotCacheId="1753169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x v="0"/>
    <x v="0"/>
    <x v="0"/>
    <x v="0"/>
    <x v="0"/>
    <x v="0"/>
    <x v="0"/>
    <x v="0"/>
    <x v="0"/>
  </r>
  <r>
    <x v="1"/>
    <x v="1"/>
    <x v="1"/>
    <x v="1"/>
    <x v="1"/>
    <x v="1"/>
    <x v="1"/>
    <x v="1"/>
    <x v="1"/>
    <x v="1"/>
  </r>
  <r>
    <x v="2"/>
    <x v="2"/>
    <x v="1"/>
    <x v="2"/>
    <x v="2"/>
    <x v="2"/>
    <x v="2"/>
    <x v="2"/>
    <x v="0"/>
    <x v="2"/>
  </r>
  <r>
    <x v="3"/>
    <x v="3"/>
    <x v="2"/>
    <x v="0"/>
    <x v="3"/>
    <x v="0"/>
    <x v="3"/>
    <x v="3"/>
    <x v="2"/>
    <x v="3"/>
  </r>
  <r>
    <x v="4"/>
    <x v="4"/>
    <x v="1"/>
    <x v="0"/>
    <x v="3"/>
    <x v="0"/>
    <x v="0"/>
    <x v="4"/>
    <x v="0"/>
    <x v="4"/>
  </r>
  <r>
    <x v="5"/>
    <x v="5"/>
    <x v="3"/>
    <x v="1"/>
    <x v="4"/>
    <x v="1"/>
    <x v="4"/>
    <x v="5"/>
    <x v="2"/>
    <x v="5"/>
  </r>
  <r>
    <x v="6"/>
    <x v="6"/>
    <x v="1"/>
    <x v="0"/>
    <x v="0"/>
    <x v="0"/>
    <x v="5"/>
    <x v="6"/>
    <x v="1"/>
    <x v="6"/>
  </r>
  <r>
    <x v="7"/>
    <x v="7"/>
    <x v="3"/>
    <x v="0"/>
    <x v="0"/>
    <x v="0"/>
    <x v="2"/>
    <x v="7"/>
    <x v="3"/>
    <x v="7"/>
  </r>
  <r>
    <x v="8"/>
    <x v="8"/>
    <x v="2"/>
    <x v="2"/>
    <x v="2"/>
    <x v="2"/>
    <x v="1"/>
    <x v="8"/>
    <x v="1"/>
    <x v="8"/>
  </r>
  <r>
    <x v="9"/>
    <x v="9"/>
    <x v="3"/>
    <x v="0"/>
    <x v="3"/>
    <x v="0"/>
    <x v="5"/>
    <x v="9"/>
    <x v="3"/>
    <x v="9"/>
  </r>
  <r>
    <x v="10"/>
    <x v="10"/>
    <x v="3"/>
    <x v="2"/>
    <x v="2"/>
    <x v="2"/>
    <x v="1"/>
    <x v="10"/>
    <x v="0"/>
    <x v="10"/>
  </r>
  <r>
    <x v="11"/>
    <x v="11"/>
    <x v="0"/>
    <x v="0"/>
    <x v="0"/>
    <x v="0"/>
    <x v="2"/>
    <x v="11"/>
    <x v="3"/>
    <x v="11"/>
  </r>
  <r>
    <x v="12"/>
    <x v="12"/>
    <x v="2"/>
    <x v="0"/>
    <x v="3"/>
    <x v="0"/>
    <x v="6"/>
    <x v="12"/>
    <x v="2"/>
    <x v="12"/>
  </r>
  <r>
    <x v="13"/>
    <x v="13"/>
    <x v="2"/>
    <x v="0"/>
    <x v="3"/>
    <x v="0"/>
    <x v="5"/>
    <x v="13"/>
    <x v="1"/>
    <x v="13"/>
  </r>
  <r>
    <x v="14"/>
    <x v="14"/>
    <x v="4"/>
    <x v="0"/>
    <x v="0"/>
    <x v="0"/>
    <x v="4"/>
    <x v="14"/>
    <x v="3"/>
    <x v="14"/>
  </r>
  <r>
    <x v="15"/>
    <x v="15"/>
    <x v="3"/>
    <x v="3"/>
    <x v="5"/>
    <x v="3"/>
    <x v="7"/>
    <x v="15"/>
    <x v="3"/>
    <x v="15"/>
  </r>
  <r>
    <x v="16"/>
    <x v="16"/>
    <x v="0"/>
    <x v="0"/>
    <x v="0"/>
    <x v="0"/>
    <x v="8"/>
    <x v="16"/>
    <x v="0"/>
    <x v="16"/>
  </r>
  <r>
    <x v="17"/>
    <x v="17"/>
    <x v="2"/>
    <x v="0"/>
    <x v="3"/>
    <x v="0"/>
    <x v="2"/>
    <x v="17"/>
    <x v="2"/>
    <x v="17"/>
  </r>
  <r>
    <x v="18"/>
    <x v="18"/>
    <x v="2"/>
    <x v="0"/>
    <x v="3"/>
    <x v="0"/>
    <x v="3"/>
    <x v="18"/>
    <x v="1"/>
    <x v="18"/>
  </r>
  <r>
    <x v="19"/>
    <x v="19"/>
    <x v="0"/>
    <x v="2"/>
    <x v="2"/>
    <x v="2"/>
    <x v="1"/>
    <x v="19"/>
    <x v="1"/>
    <x v="19"/>
  </r>
  <r>
    <x v="20"/>
    <x v="20"/>
    <x v="5"/>
    <x v="2"/>
    <x v="2"/>
    <x v="2"/>
    <x v="6"/>
    <x v="20"/>
    <x v="3"/>
    <x v="20"/>
  </r>
  <r>
    <x v="19"/>
    <x v="21"/>
    <x v="3"/>
    <x v="0"/>
    <x v="0"/>
    <x v="0"/>
    <x v="2"/>
    <x v="21"/>
    <x v="3"/>
    <x v="21"/>
  </r>
  <r>
    <x v="21"/>
    <x v="22"/>
    <x v="3"/>
    <x v="1"/>
    <x v="4"/>
    <x v="1"/>
    <x v="8"/>
    <x v="22"/>
    <x v="1"/>
    <x v="22"/>
  </r>
  <r>
    <x v="22"/>
    <x v="23"/>
    <x v="0"/>
    <x v="1"/>
    <x v="4"/>
    <x v="1"/>
    <x v="9"/>
    <x v="23"/>
    <x v="2"/>
    <x v="23"/>
  </r>
  <r>
    <x v="23"/>
    <x v="24"/>
    <x v="5"/>
    <x v="2"/>
    <x v="2"/>
    <x v="2"/>
    <x v="0"/>
    <x v="24"/>
    <x v="0"/>
    <x v="24"/>
  </r>
  <r>
    <x v="24"/>
    <x v="25"/>
    <x v="4"/>
    <x v="2"/>
    <x v="2"/>
    <x v="2"/>
    <x v="0"/>
    <x v="25"/>
    <x v="0"/>
    <x v="25"/>
  </r>
  <r>
    <x v="18"/>
    <x v="26"/>
    <x v="5"/>
    <x v="0"/>
    <x v="3"/>
    <x v="0"/>
    <x v="7"/>
    <x v="26"/>
    <x v="0"/>
    <x v="26"/>
  </r>
  <r>
    <x v="5"/>
    <x v="27"/>
    <x v="2"/>
    <x v="0"/>
    <x v="3"/>
    <x v="0"/>
    <x v="4"/>
    <x v="27"/>
    <x v="0"/>
    <x v="27"/>
  </r>
  <r>
    <x v="25"/>
    <x v="28"/>
    <x v="5"/>
    <x v="3"/>
    <x v="5"/>
    <x v="3"/>
    <x v="2"/>
    <x v="28"/>
    <x v="1"/>
    <x v="28"/>
  </r>
  <r>
    <x v="26"/>
    <x v="29"/>
    <x v="0"/>
    <x v="1"/>
    <x v="1"/>
    <x v="1"/>
    <x v="3"/>
    <x v="29"/>
    <x v="2"/>
    <x v="29"/>
  </r>
  <r>
    <x v="27"/>
    <x v="30"/>
    <x v="0"/>
    <x v="1"/>
    <x v="1"/>
    <x v="1"/>
    <x v="8"/>
    <x v="30"/>
    <x v="1"/>
    <x v="30"/>
  </r>
  <r>
    <x v="28"/>
    <x v="31"/>
    <x v="3"/>
    <x v="1"/>
    <x v="1"/>
    <x v="1"/>
    <x v="0"/>
    <x v="31"/>
    <x v="1"/>
    <x v="31"/>
  </r>
  <r>
    <x v="29"/>
    <x v="32"/>
    <x v="1"/>
    <x v="0"/>
    <x v="0"/>
    <x v="0"/>
    <x v="4"/>
    <x v="32"/>
    <x v="1"/>
    <x v="32"/>
  </r>
  <r>
    <x v="30"/>
    <x v="33"/>
    <x v="0"/>
    <x v="3"/>
    <x v="5"/>
    <x v="3"/>
    <x v="9"/>
    <x v="33"/>
    <x v="1"/>
    <x v="33"/>
  </r>
  <r>
    <x v="31"/>
    <x v="34"/>
    <x v="3"/>
    <x v="1"/>
    <x v="4"/>
    <x v="1"/>
    <x v="0"/>
    <x v="34"/>
    <x v="3"/>
    <x v="34"/>
  </r>
  <r>
    <x v="4"/>
    <x v="35"/>
    <x v="4"/>
    <x v="1"/>
    <x v="1"/>
    <x v="1"/>
    <x v="2"/>
    <x v="35"/>
    <x v="0"/>
    <x v="35"/>
  </r>
  <r>
    <x v="32"/>
    <x v="36"/>
    <x v="3"/>
    <x v="3"/>
    <x v="5"/>
    <x v="3"/>
    <x v="9"/>
    <x v="36"/>
    <x v="0"/>
    <x v="36"/>
  </r>
  <r>
    <x v="33"/>
    <x v="37"/>
    <x v="4"/>
    <x v="2"/>
    <x v="2"/>
    <x v="2"/>
    <x v="7"/>
    <x v="37"/>
    <x v="0"/>
    <x v="37"/>
  </r>
  <r>
    <x v="34"/>
    <x v="38"/>
    <x v="3"/>
    <x v="1"/>
    <x v="4"/>
    <x v="1"/>
    <x v="6"/>
    <x v="38"/>
    <x v="2"/>
    <x v="38"/>
  </r>
  <r>
    <x v="30"/>
    <x v="39"/>
    <x v="2"/>
    <x v="2"/>
    <x v="2"/>
    <x v="2"/>
    <x v="8"/>
    <x v="39"/>
    <x v="2"/>
    <x v="39"/>
  </r>
  <r>
    <x v="35"/>
    <x v="40"/>
    <x v="2"/>
    <x v="1"/>
    <x v="1"/>
    <x v="1"/>
    <x v="9"/>
    <x v="40"/>
    <x v="1"/>
    <x v="40"/>
  </r>
  <r>
    <x v="23"/>
    <x v="41"/>
    <x v="2"/>
    <x v="3"/>
    <x v="5"/>
    <x v="3"/>
    <x v="0"/>
    <x v="41"/>
    <x v="2"/>
    <x v="41"/>
  </r>
  <r>
    <x v="36"/>
    <x v="42"/>
    <x v="1"/>
    <x v="0"/>
    <x v="0"/>
    <x v="0"/>
    <x v="9"/>
    <x v="42"/>
    <x v="2"/>
    <x v="42"/>
  </r>
  <r>
    <x v="37"/>
    <x v="43"/>
    <x v="4"/>
    <x v="0"/>
    <x v="3"/>
    <x v="0"/>
    <x v="2"/>
    <x v="43"/>
    <x v="3"/>
    <x v="43"/>
  </r>
  <r>
    <x v="38"/>
    <x v="44"/>
    <x v="1"/>
    <x v="1"/>
    <x v="4"/>
    <x v="1"/>
    <x v="7"/>
    <x v="44"/>
    <x v="1"/>
    <x v="44"/>
  </r>
  <r>
    <x v="20"/>
    <x v="45"/>
    <x v="0"/>
    <x v="0"/>
    <x v="0"/>
    <x v="0"/>
    <x v="4"/>
    <x v="45"/>
    <x v="0"/>
    <x v="45"/>
  </r>
  <r>
    <x v="39"/>
    <x v="46"/>
    <x v="4"/>
    <x v="3"/>
    <x v="5"/>
    <x v="3"/>
    <x v="7"/>
    <x v="46"/>
    <x v="3"/>
    <x v="46"/>
  </r>
  <r>
    <x v="40"/>
    <x v="47"/>
    <x v="3"/>
    <x v="1"/>
    <x v="4"/>
    <x v="1"/>
    <x v="7"/>
    <x v="47"/>
    <x v="0"/>
    <x v="47"/>
  </r>
  <r>
    <x v="18"/>
    <x v="48"/>
    <x v="2"/>
    <x v="3"/>
    <x v="5"/>
    <x v="3"/>
    <x v="8"/>
    <x v="48"/>
    <x v="2"/>
    <x v="48"/>
  </r>
  <r>
    <x v="41"/>
    <x v="49"/>
    <x v="2"/>
    <x v="0"/>
    <x v="0"/>
    <x v="0"/>
    <x v="1"/>
    <x v="49"/>
    <x v="2"/>
    <x v="49"/>
  </r>
  <r>
    <x v="42"/>
    <x v="50"/>
    <x v="1"/>
    <x v="1"/>
    <x v="1"/>
    <x v="1"/>
    <x v="2"/>
    <x v="50"/>
    <x v="2"/>
    <x v="50"/>
  </r>
  <r>
    <x v="43"/>
    <x v="51"/>
    <x v="5"/>
    <x v="2"/>
    <x v="2"/>
    <x v="2"/>
    <x v="6"/>
    <x v="51"/>
    <x v="3"/>
    <x v="51"/>
  </r>
  <r>
    <x v="44"/>
    <x v="52"/>
    <x v="4"/>
    <x v="0"/>
    <x v="0"/>
    <x v="0"/>
    <x v="2"/>
    <x v="52"/>
    <x v="3"/>
    <x v="52"/>
  </r>
  <r>
    <x v="45"/>
    <x v="53"/>
    <x v="2"/>
    <x v="1"/>
    <x v="1"/>
    <x v="1"/>
    <x v="0"/>
    <x v="53"/>
    <x v="1"/>
    <x v="53"/>
  </r>
  <r>
    <x v="14"/>
    <x v="54"/>
    <x v="0"/>
    <x v="2"/>
    <x v="2"/>
    <x v="2"/>
    <x v="4"/>
    <x v="54"/>
    <x v="3"/>
    <x v="54"/>
  </r>
  <r>
    <x v="46"/>
    <x v="55"/>
    <x v="1"/>
    <x v="0"/>
    <x v="0"/>
    <x v="0"/>
    <x v="1"/>
    <x v="55"/>
    <x v="0"/>
    <x v="55"/>
  </r>
  <r>
    <x v="47"/>
    <x v="56"/>
    <x v="5"/>
    <x v="2"/>
    <x v="2"/>
    <x v="2"/>
    <x v="6"/>
    <x v="56"/>
    <x v="0"/>
    <x v="56"/>
  </r>
  <r>
    <x v="7"/>
    <x v="57"/>
    <x v="0"/>
    <x v="2"/>
    <x v="2"/>
    <x v="2"/>
    <x v="7"/>
    <x v="57"/>
    <x v="0"/>
    <x v="57"/>
  </r>
  <r>
    <x v="48"/>
    <x v="58"/>
    <x v="1"/>
    <x v="2"/>
    <x v="2"/>
    <x v="2"/>
    <x v="1"/>
    <x v="58"/>
    <x v="3"/>
    <x v="58"/>
  </r>
  <r>
    <x v="38"/>
    <x v="59"/>
    <x v="1"/>
    <x v="1"/>
    <x v="4"/>
    <x v="1"/>
    <x v="3"/>
    <x v="59"/>
    <x v="0"/>
    <x v="59"/>
  </r>
  <r>
    <x v="9"/>
    <x v="60"/>
    <x v="3"/>
    <x v="0"/>
    <x v="3"/>
    <x v="0"/>
    <x v="5"/>
    <x v="60"/>
    <x v="0"/>
    <x v="60"/>
  </r>
  <r>
    <x v="49"/>
    <x v="61"/>
    <x v="3"/>
    <x v="3"/>
    <x v="5"/>
    <x v="3"/>
    <x v="6"/>
    <x v="61"/>
    <x v="3"/>
    <x v="61"/>
  </r>
  <r>
    <x v="42"/>
    <x v="62"/>
    <x v="4"/>
    <x v="0"/>
    <x v="0"/>
    <x v="0"/>
    <x v="8"/>
    <x v="62"/>
    <x v="1"/>
    <x v="62"/>
  </r>
  <r>
    <x v="20"/>
    <x v="63"/>
    <x v="5"/>
    <x v="3"/>
    <x v="5"/>
    <x v="3"/>
    <x v="9"/>
    <x v="63"/>
    <x v="0"/>
    <x v="63"/>
  </r>
  <r>
    <x v="50"/>
    <x v="64"/>
    <x v="3"/>
    <x v="1"/>
    <x v="4"/>
    <x v="1"/>
    <x v="7"/>
    <x v="64"/>
    <x v="1"/>
    <x v="64"/>
  </r>
  <r>
    <x v="51"/>
    <x v="65"/>
    <x v="0"/>
    <x v="0"/>
    <x v="0"/>
    <x v="0"/>
    <x v="1"/>
    <x v="65"/>
    <x v="0"/>
    <x v="65"/>
  </r>
  <r>
    <x v="52"/>
    <x v="66"/>
    <x v="2"/>
    <x v="1"/>
    <x v="4"/>
    <x v="1"/>
    <x v="8"/>
    <x v="66"/>
    <x v="1"/>
    <x v="66"/>
  </r>
  <r>
    <x v="53"/>
    <x v="67"/>
    <x v="4"/>
    <x v="1"/>
    <x v="1"/>
    <x v="1"/>
    <x v="6"/>
    <x v="67"/>
    <x v="1"/>
    <x v="67"/>
  </r>
  <r>
    <x v="25"/>
    <x v="68"/>
    <x v="2"/>
    <x v="0"/>
    <x v="0"/>
    <x v="0"/>
    <x v="9"/>
    <x v="68"/>
    <x v="2"/>
    <x v="68"/>
  </r>
  <r>
    <x v="47"/>
    <x v="69"/>
    <x v="4"/>
    <x v="0"/>
    <x v="3"/>
    <x v="0"/>
    <x v="1"/>
    <x v="69"/>
    <x v="2"/>
    <x v="69"/>
  </r>
  <r>
    <x v="36"/>
    <x v="70"/>
    <x v="1"/>
    <x v="1"/>
    <x v="1"/>
    <x v="1"/>
    <x v="9"/>
    <x v="70"/>
    <x v="1"/>
    <x v="70"/>
  </r>
  <r>
    <x v="54"/>
    <x v="71"/>
    <x v="1"/>
    <x v="3"/>
    <x v="5"/>
    <x v="3"/>
    <x v="6"/>
    <x v="71"/>
    <x v="0"/>
    <x v="71"/>
  </r>
  <r>
    <x v="55"/>
    <x v="72"/>
    <x v="5"/>
    <x v="3"/>
    <x v="5"/>
    <x v="3"/>
    <x v="6"/>
    <x v="72"/>
    <x v="3"/>
    <x v="72"/>
  </r>
  <r>
    <x v="12"/>
    <x v="73"/>
    <x v="2"/>
    <x v="2"/>
    <x v="2"/>
    <x v="2"/>
    <x v="5"/>
    <x v="73"/>
    <x v="0"/>
    <x v="73"/>
  </r>
  <r>
    <x v="56"/>
    <x v="74"/>
    <x v="2"/>
    <x v="0"/>
    <x v="3"/>
    <x v="0"/>
    <x v="4"/>
    <x v="74"/>
    <x v="0"/>
    <x v="74"/>
  </r>
  <r>
    <x v="57"/>
    <x v="75"/>
    <x v="5"/>
    <x v="0"/>
    <x v="0"/>
    <x v="0"/>
    <x v="7"/>
    <x v="75"/>
    <x v="0"/>
    <x v="75"/>
  </r>
  <r>
    <x v="58"/>
    <x v="76"/>
    <x v="4"/>
    <x v="1"/>
    <x v="1"/>
    <x v="1"/>
    <x v="6"/>
    <x v="76"/>
    <x v="1"/>
    <x v="76"/>
  </r>
  <r>
    <x v="59"/>
    <x v="77"/>
    <x v="5"/>
    <x v="2"/>
    <x v="2"/>
    <x v="2"/>
    <x v="6"/>
    <x v="77"/>
    <x v="0"/>
    <x v="77"/>
  </r>
  <r>
    <x v="60"/>
    <x v="78"/>
    <x v="5"/>
    <x v="3"/>
    <x v="5"/>
    <x v="3"/>
    <x v="8"/>
    <x v="78"/>
    <x v="2"/>
    <x v="78"/>
  </r>
  <r>
    <x v="61"/>
    <x v="79"/>
    <x v="4"/>
    <x v="3"/>
    <x v="5"/>
    <x v="3"/>
    <x v="9"/>
    <x v="79"/>
    <x v="0"/>
    <x v="79"/>
  </r>
  <r>
    <x v="62"/>
    <x v="80"/>
    <x v="5"/>
    <x v="3"/>
    <x v="5"/>
    <x v="3"/>
    <x v="9"/>
    <x v="80"/>
    <x v="1"/>
    <x v="80"/>
  </r>
  <r>
    <x v="36"/>
    <x v="81"/>
    <x v="5"/>
    <x v="1"/>
    <x v="1"/>
    <x v="1"/>
    <x v="3"/>
    <x v="81"/>
    <x v="0"/>
    <x v="81"/>
  </r>
  <r>
    <x v="63"/>
    <x v="82"/>
    <x v="4"/>
    <x v="2"/>
    <x v="2"/>
    <x v="2"/>
    <x v="1"/>
    <x v="82"/>
    <x v="2"/>
    <x v="82"/>
  </r>
  <r>
    <x v="20"/>
    <x v="83"/>
    <x v="0"/>
    <x v="0"/>
    <x v="3"/>
    <x v="0"/>
    <x v="0"/>
    <x v="83"/>
    <x v="2"/>
    <x v="83"/>
  </r>
  <r>
    <x v="32"/>
    <x v="84"/>
    <x v="3"/>
    <x v="1"/>
    <x v="1"/>
    <x v="1"/>
    <x v="5"/>
    <x v="84"/>
    <x v="3"/>
    <x v="84"/>
  </r>
  <r>
    <x v="64"/>
    <x v="85"/>
    <x v="0"/>
    <x v="3"/>
    <x v="5"/>
    <x v="3"/>
    <x v="6"/>
    <x v="85"/>
    <x v="2"/>
    <x v="85"/>
  </r>
  <r>
    <x v="65"/>
    <x v="86"/>
    <x v="5"/>
    <x v="1"/>
    <x v="4"/>
    <x v="1"/>
    <x v="6"/>
    <x v="86"/>
    <x v="1"/>
    <x v="86"/>
  </r>
  <r>
    <x v="66"/>
    <x v="87"/>
    <x v="3"/>
    <x v="3"/>
    <x v="5"/>
    <x v="3"/>
    <x v="2"/>
    <x v="87"/>
    <x v="3"/>
    <x v="87"/>
  </r>
  <r>
    <x v="26"/>
    <x v="88"/>
    <x v="5"/>
    <x v="3"/>
    <x v="5"/>
    <x v="3"/>
    <x v="4"/>
    <x v="88"/>
    <x v="1"/>
    <x v="88"/>
  </r>
  <r>
    <x v="52"/>
    <x v="89"/>
    <x v="1"/>
    <x v="1"/>
    <x v="1"/>
    <x v="1"/>
    <x v="9"/>
    <x v="89"/>
    <x v="3"/>
    <x v="89"/>
  </r>
  <r>
    <x v="66"/>
    <x v="90"/>
    <x v="4"/>
    <x v="1"/>
    <x v="4"/>
    <x v="1"/>
    <x v="2"/>
    <x v="90"/>
    <x v="3"/>
    <x v="90"/>
  </r>
  <r>
    <x v="67"/>
    <x v="91"/>
    <x v="2"/>
    <x v="1"/>
    <x v="1"/>
    <x v="1"/>
    <x v="5"/>
    <x v="91"/>
    <x v="1"/>
    <x v="91"/>
  </r>
  <r>
    <x v="68"/>
    <x v="92"/>
    <x v="2"/>
    <x v="2"/>
    <x v="2"/>
    <x v="2"/>
    <x v="1"/>
    <x v="92"/>
    <x v="2"/>
    <x v="92"/>
  </r>
  <r>
    <x v="69"/>
    <x v="93"/>
    <x v="0"/>
    <x v="0"/>
    <x v="3"/>
    <x v="0"/>
    <x v="7"/>
    <x v="93"/>
    <x v="2"/>
    <x v="93"/>
  </r>
  <r>
    <x v="70"/>
    <x v="94"/>
    <x v="0"/>
    <x v="1"/>
    <x v="4"/>
    <x v="1"/>
    <x v="2"/>
    <x v="94"/>
    <x v="0"/>
    <x v="94"/>
  </r>
  <r>
    <x v="71"/>
    <x v="95"/>
    <x v="4"/>
    <x v="0"/>
    <x v="3"/>
    <x v="0"/>
    <x v="5"/>
    <x v="95"/>
    <x v="0"/>
    <x v="95"/>
  </r>
  <r>
    <x v="28"/>
    <x v="96"/>
    <x v="0"/>
    <x v="1"/>
    <x v="1"/>
    <x v="1"/>
    <x v="9"/>
    <x v="96"/>
    <x v="2"/>
    <x v="96"/>
  </r>
  <r>
    <x v="72"/>
    <x v="97"/>
    <x v="0"/>
    <x v="0"/>
    <x v="0"/>
    <x v="0"/>
    <x v="8"/>
    <x v="97"/>
    <x v="2"/>
    <x v="97"/>
  </r>
  <r>
    <x v="73"/>
    <x v="98"/>
    <x v="4"/>
    <x v="3"/>
    <x v="5"/>
    <x v="3"/>
    <x v="7"/>
    <x v="98"/>
    <x v="2"/>
    <x v="98"/>
  </r>
  <r>
    <x v="74"/>
    <x v="99"/>
    <x v="5"/>
    <x v="1"/>
    <x v="4"/>
    <x v="1"/>
    <x v="6"/>
    <x v="99"/>
    <x v="2"/>
    <x v="99"/>
  </r>
  <r>
    <x v="48"/>
    <x v="100"/>
    <x v="0"/>
    <x v="2"/>
    <x v="2"/>
    <x v="2"/>
    <x v="2"/>
    <x v="100"/>
    <x v="1"/>
    <x v="100"/>
  </r>
  <r>
    <x v="49"/>
    <x v="101"/>
    <x v="2"/>
    <x v="2"/>
    <x v="2"/>
    <x v="2"/>
    <x v="8"/>
    <x v="101"/>
    <x v="3"/>
    <x v="101"/>
  </r>
  <r>
    <x v="5"/>
    <x v="102"/>
    <x v="2"/>
    <x v="0"/>
    <x v="0"/>
    <x v="0"/>
    <x v="4"/>
    <x v="102"/>
    <x v="3"/>
    <x v="102"/>
  </r>
  <r>
    <x v="32"/>
    <x v="103"/>
    <x v="1"/>
    <x v="0"/>
    <x v="0"/>
    <x v="0"/>
    <x v="1"/>
    <x v="103"/>
    <x v="3"/>
    <x v="103"/>
  </r>
  <r>
    <x v="10"/>
    <x v="104"/>
    <x v="5"/>
    <x v="0"/>
    <x v="3"/>
    <x v="0"/>
    <x v="5"/>
    <x v="104"/>
    <x v="1"/>
    <x v="104"/>
  </r>
  <r>
    <x v="75"/>
    <x v="105"/>
    <x v="5"/>
    <x v="2"/>
    <x v="2"/>
    <x v="2"/>
    <x v="8"/>
    <x v="105"/>
    <x v="3"/>
    <x v="105"/>
  </r>
  <r>
    <x v="76"/>
    <x v="106"/>
    <x v="5"/>
    <x v="0"/>
    <x v="3"/>
    <x v="0"/>
    <x v="2"/>
    <x v="106"/>
    <x v="2"/>
    <x v="106"/>
  </r>
  <r>
    <x v="68"/>
    <x v="107"/>
    <x v="4"/>
    <x v="1"/>
    <x v="4"/>
    <x v="1"/>
    <x v="2"/>
    <x v="107"/>
    <x v="0"/>
    <x v="107"/>
  </r>
  <r>
    <x v="77"/>
    <x v="108"/>
    <x v="0"/>
    <x v="1"/>
    <x v="1"/>
    <x v="1"/>
    <x v="1"/>
    <x v="108"/>
    <x v="1"/>
    <x v="108"/>
  </r>
  <r>
    <x v="13"/>
    <x v="109"/>
    <x v="5"/>
    <x v="1"/>
    <x v="1"/>
    <x v="1"/>
    <x v="0"/>
    <x v="109"/>
    <x v="0"/>
    <x v="109"/>
  </r>
  <r>
    <x v="78"/>
    <x v="110"/>
    <x v="1"/>
    <x v="0"/>
    <x v="3"/>
    <x v="0"/>
    <x v="7"/>
    <x v="110"/>
    <x v="1"/>
    <x v="110"/>
  </r>
  <r>
    <x v="68"/>
    <x v="111"/>
    <x v="5"/>
    <x v="3"/>
    <x v="5"/>
    <x v="3"/>
    <x v="0"/>
    <x v="111"/>
    <x v="0"/>
    <x v="111"/>
  </r>
  <r>
    <x v="79"/>
    <x v="112"/>
    <x v="2"/>
    <x v="3"/>
    <x v="5"/>
    <x v="3"/>
    <x v="2"/>
    <x v="112"/>
    <x v="3"/>
    <x v="112"/>
  </r>
  <r>
    <x v="80"/>
    <x v="113"/>
    <x v="2"/>
    <x v="0"/>
    <x v="0"/>
    <x v="0"/>
    <x v="1"/>
    <x v="113"/>
    <x v="0"/>
    <x v="113"/>
  </r>
  <r>
    <x v="61"/>
    <x v="114"/>
    <x v="3"/>
    <x v="1"/>
    <x v="4"/>
    <x v="1"/>
    <x v="8"/>
    <x v="114"/>
    <x v="2"/>
    <x v="114"/>
  </r>
  <r>
    <x v="81"/>
    <x v="115"/>
    <x v="1"/>
    <x v="0"/>
    <x v="3"/>
    <x v="0"/>
    <x v="9"/>
    <x v="115"/>
    <x v="3"/>
    <x v="115"/>
  </r>
  <r>
    <x v="59"/>
    <x v="116"/>
    <x v="2"/>
    <x v="0"/>
    <x v="0"/>
    <x v="0"/>
    <x v="8"/>
    <x v="116"/>
    <x v="2"/>
    <x v="116"/>
  </r>
  <r>
    <x v="29"/>
    <x v="117"/>
    <x v="1"/>
    <x v="3"/>
    <x v="5"/>
    <x v="3"/>
    <x v="4"/>
    <x v="117"/>
    <x v="3"/>
    <x v="117"/>
  </r>
  <r>
    <x v="58"/>
    <x v="118"/>
    <x v="3"/>
    <x v="1"/>
    <x v="1"/>
    <x v="1"/>
    <x v="4"/>
    <x v="118"/>
    <x v="2"/>
    <x v="118"/>
  </r>
  <r>
    <x v="82"/>
    <x v="119"/>
    <x v="5"/>
    <x v="3"/>
    <x v="5"/>
    <x v="3"/>
    <x v="5"/>
    <x v="119"/>
    <x v="0"/>
    <x v="119"/>
  </r>
  <r>
    <x v="72"/>
    <x v="120"/>
    <x v="3"/>
    <x v="0"/>
    <x v="3"/>
    <x v="0"/>
    <x v="3"/>
    <x v="120"/>
    <x v="2"/>
    <x v="120"/>
  </r>
  <r>
    <x v="83"/>
    <x v="121"/>
    <x v="2"/>
    <x v="1"/>
    <x v="1"/>
    <x v="1"/>
    <x v="1"/>
    <x v="121"/>
    <x v="1"/>
    <x v="121"/>
  </r>
  <r>
    <x v="84"/>
    <x v="122"/>
    <x v="3"/>
    <x v="1"/>
    <x v="4"/>
    <x v="1"/>
    <x v="7"/>
    <x v="122"/>
    <x v="2"/>
    <x v="122"/>
  </r>
  <r>
    <x v="85"/>
    <x v="123"/>
    <x v="5"/>
    <x v="1"/>
    <x v="1"/>
    <x v="1"/>
    <x v="0"/>
    <x v="123"/>
    <x v="1"/>
    <x v="123"/>
  </r>
  <r>
    <x v="86"/>
    <x v="124"/>
    <x v="2"/>
    <x v="3"/>
    <x v="5"/>
    <x v="3"/>
    <x v="2"/>
    <x v="124"/>
    <x v="1"/>
    <x v="124"/>
  </r>
  <r>
    <x v="87"/>
    <x v="125"/>
    <x v="2"/>
    <x v="1"/>
    <x v="1"/>
    <x v="1"/>
    <x v="9"/>
    <x v="125"/>
    <x v="1"/>
    <x v="125"/>
  </r>
  <r>
    <x v="69"/>
    <x v="126"/>
    <x v="0"/>
    <x v="1"/>
    <x v="1"/>
    <x v="1"/>
    <x v="9"/>
    <x v="126"/>
    <x v="1"/>
    <x v="126"/>
  </r>
  <r>
    <x v="88"/>
    <x v="127"/>
    <x v="4"/>
    <x v="1"/>
    <x v="1"/>
    <x v="1"/>
    <x v="8"/>
    <x v="127"/>
    <x v="1"/>
    <x v="127"/>
  </r>
  <r>
    <x v="53"/>
    <x v="128"/>
    <x v="4"/>
    <x v="2"/>
    <x v="2"/>
    <x v="2"/>
    <x v="5"/>
    <x v="128"/>
    <x v="2"/>
    <x v="128"/>
  </r>
  <r>
    <x v="89"/>
    <x v="129"/>
    <x v="5"/>
    <x v="3"/>
    <x v="5"/>
    <x v="3"/>
    <x v="5"/>
    <x v="129"/>
    <x v="0"/>
    <x v="129"/>
  </r>
  <r>
    <x v="90"/>
    <x v="130"/>
    <x v="0"/>
    <x v="1"/>
    <x v="4"/>
    <x v="1"/>
    <x v="3"/>
    <x v="130"/>
    <x v="2"/>
    <x v="130"/>
  </r>
  <r>
    <x v="91"/>
    <x v="131"/>
    <x v="0"/>
    <x v="2"/>
    <x v="2"/>
    <x v="2"/>
    <x v="1"/>
    <x v="131"/>
    <x v="1"/>
    <x v="131"/>
  </r>
  <r>
    <x v="92"/>
    <x v="132"/>
    <x v="0"/>
    <x v="0"/>
    <x v="3"/>
    <x v="0"/>
    <x v="3"/>
    <x v="132"/>
    <x v="2"/>
    <x v="132"/>
  </r>
  <r>
    <x v="1"/>
    <x v="133"/>
    <x v="2"/>
    <x v="3"/>
    <x v="5"/>
    <x v="3"/>
    <x v="2"/>
    <x v="133"/>
    <x v="0"/>
    <x v="133"/>
  </r>
  <r>
    <x v="93"/>
    <x v="134"/>
    <x v="2"/>
    <x v="1"/>
    <x v="1"/>
    <x v="1"/>
    <x v="9"/>
    <x v="134"/>
    <x v="3"/>
    <x v="134"/>
  </r>
  <r>
    <x v="94"/>
    <x v="135"/>
    <x v="2"/>
    <x v="3"/>
    <x v="5"/>
    <x v="3"/>
    <x v="4"/>
    <x v="135"/>
    <x v="3"/>
    <x v="135"/>
  </r>
  <r>
    <x v="38"/>
    <x v="136"/>
    <x v="2"/>
    <x v="0"/>
    <x v="0"/>
    <x v="0"/>
    <x v="4"/>
    <x v="136"/>
    <x v="0"/>
    <x v="136"/>
  </r>
  <r>
    <x v="30"/>
    <x v="137"/>
    <x v="5"/>
    <x v="1"/>
    <x v="1"/>
    <x v="1"/>
    <x v="4"/>
    <x v="137"/>
    <x v="2"/>
    <x v="137"/>
  </r>
  <r>
    <x v="8"/>
    <x v="138"/>
    <x v="0"/>
    <x v="1"/>
    <x v="1"/>
    <x v="1"/>
    <x v="0"/>
    <x v="138"/>
    <x v="0"/>
    <x v="138"/>
  </r>
  <r>
    <x v="77"/>
    <x v="139"/>
    <x v="4"/>
    <x v="2"/>
    <x v="2"/>
    <x v="2"/>
    <x v="2"/>
    <x v="139"/>
    <x v="2"/>
    <x v="139"/>
  </r>
  <r>
    <x v="95"/>
    <x v="140"/>
    <x v="3"/>
    <x v="0"/>
    <x v="0"/>
    <x v="0"/>
    <x v="8"/>
    <x v="140"/>
    <x v="3"/>
    <x v="140"/>
  </r>
  <r>
    <x v="54"/>
    <x v="141"/>
    <x v="4"/>
    <x v="0"/>
    <x v="0"/>
    <x v="0"/>
    <x v="1"/>
    <x v="141"/>
    <x v="0"/>
    <x v="141"/>
  </r>
  <r>
    <x v="60"/>
    <x v="142"/>
    <x v="0"/>
    <x v="1"/>
    <x v="1"/>
    <x v="1"/>
    <x v="5"/>
    <x v="142"/>
    <x v="2"/>
    <x v="142"/>
  </r>
  <r>
    <x v="29"/>
    <x v="143"/>
    <x v="2"/>
    <x v="3"/>
    <x v="5"/>
    <x v="3"/>
    <x v="1"/>
    <x v="143"/>
    <x v="2"/>
    <x v="143"/>
  </r>
  <r>
    <x v="96"/>
    <x v="144"/>
    <x v="3"/>
    <x v="1"/>
    <x v="4"/>
    <x v="1"/>
    <x v="5"/>
    <x v="144"/>
    <x v="3"/>
    <x v="144"/>
  </r>
  <r>
    <x v="97"/>
    <x v="145"/>
    <x v="5"/>
    <x v="0"/>
    <x v="3"/>
    <x v="0"/>
    <x v="0"/>
    <x v="145"/>
    <x v="3"/>
    <x v="145"/>
  </r>
  <r>
    <x v="94"/>
    <x v="146"/>
    <x v="5"/>
    <x v="2"/>
    <x v="2"/>
    <x v="2"/>
    <x v="1"/>
    <x v="146"/>
    <x v="3"/>
    <x v="146"/>
  </r>
  <r>
    <x v="98"/>
    <x v="147"/>
    <x v="5"/>
    <x v="0"/>
    <x v="0"/>
    <x v="0"/>
    <x v="2"/>
    <x v="147"/>
    <x v="3"/>
    <x v="147"/>
  </r>
  <r>
    <x v="51"/>
    <x v="148"/>
    <x v="1"/>
    <x v="0"/>
    <x v="0"/>
    <x v="0"/>
    <x v="3"/>
    <x v="148"/>
    <x v="2"/>
    <x v="148"/>
  </r>
  <r>
    <x v="75"/>
    <x v="149"/>
    <x v="2"/>
    <x v="1"/>
    <x v="1"/>
    <x v="1"/>
    <x v="9"/>
    <x v="149"/>
    <x v="2"/>
    <x v="149"/>
  </r>
  <r>
    <x v="44"/>
    <x v="150"/>
    <x v="3"/>
    <x v="3"/>
    <x v="5"/>
    <x v="3"/>
    <x v="1"/>
    <x v="150"/>
    <x v="1"/>
    <x v="150"/>
  </r>
  <r>
    <x v="99"/>
    <x v="151"/>
    <x v="5"/>
    <x v="1"/>
    <x v="4"/>
    <x v="1"/>
    <x v="8"/>
    <x v="151"/>
    <x v="2"/>
    <x v="151"/>
  </r>
  <r>
    <x v="100"/>
    <x v="152"/>
    <x v="3"/>
    <x v="0"/>
    <x v="0"/>
    <x v="0"/>
    <x v="9"/>
    <x v="152"/>
    <x v="0"/>
    <x v="152"/>
  </r>
  <r>
    <x v="101"/>
    <x v="153"/>
    <x v="2"/>
    <x v="1"/>
    <x v="4"/>
    <x v="1"/>
    <x v="0"/>
    <x v="153"/>
    <x v="1"/>
    <x v="153"/>
  </r>
  <r>
    <x v="75"/>
    <x v="154"/>
    <x v="4"/>
    <x v="1"/>
    <x v="4"/>
    <x v="1"/>
    <x v="2"/>
    <x v="154"/>
    <x v="3"/>
    <x v="154"/>
  </r>
  <r>
    <x v="100"/>
    <x v="155"/>
    <x v="1"/>
    <x v="0"/>
    <x v="3"/>
    <x v="0"/>
    <x v="7"/>
    <x v="155"/>
    <x v="1"/>
    <x v="155"/>
  </r>
  <r>
    <x v="102"/>
    <x v="156"/>
    <x v="5"/>
    <x v="1"/>
    <x v="1"/>
    <x v="1"/>
    <x v="4"/>
    <x v="156"/>
    <x v="1"/>
    <x v="156"/>
  </r>
  <r>
    <x v="103"/>
    <x v="157"/>
    <x v="2"/>
    <x v="3"/>
    <x v="5"/>
    <x v="3"/>
    <x v="3"/>
    <x v="157"/>
    <x v="2"/>
    <x v="157"/>
  </r>
  <r>
    <x v="104"/>
    <x v="158"/>
    <x v="4"/>
    <x v="3"/>
    <x v="5"/>
    <x v="3"/>
    <x v="0"/>
    <x v="158"/>
    <x v="3"/>
    <x v="158"/>
  </r>
  <r>
    <x v="105"/>
    <x v="159"/>
    <x v="0"/>
    <x v="1"/>
    <x v="4"/>
    <x v="1"/>
    <x v="6"/>
    <x v="159"/>
    <x v="1"/>
    <x v="159"/>
  </r>
  <r>
    <x v="53"/>
    <x v="160"/>
    <x v="4"/>
    <x v="0"/>
    <x v="0"/>
    <x v="0"/>
    <x v="9"/>
    <x v="160"/>
    <x v="1"/>
    <x v="160"/>
  </r>
  <r>
    <x v="75"/>
    <x v="161"/>
    <x v="1"/>
    <x v="0"/>
    <x v="0"/>
    <x v="0"/>
    <x v="8"/>
    <x v="161"/>
    <x v="2"/>
    <x v="161"/>
  </r>
  <r>
    <x v="74"/>
    <x v="162"/>
    <x v="3"/>
    <x v="2"/>
    <x v="2"/>
    <x v="2"/>
    <x v="6"/>
    <x v="162"/>
    <x v="0"/>
    <x v="162"/>
  </r>
  <r>
    <x v="106"/>
    <x v="163"/>
    <x v="5"/>
    <x v="0"/>
    <x v="3"/>
    <x v="0"/>
    <x v="9"/>
    <x v="163"/>
    <x v="2"/>
    <x v="163"/>
  </r>
  <r>
    <x v="107"/>
    <x v="164"/>
    <x v="3"/>
    <x v="1"/>
    <x v="1"/>
    <x v="1"/>
    <x v="9"/>
    <x v="164"/>
    <x v="0"/>
    <x v="164"/>
  </r>
  <r>
    <x v="91"/>
    <x v="165"/>
    <x v="4"/>
    <x v="0"/>
    <x v="3"/>
    <x v="0"/>
    <x v="2"/>
    <x v="165"/>
    <x v="1"/>
    <x v="165"/>
  </r>
  <r>
    <x v="83"/>
    <x v="166"/>
    <x v="5"/>
    <x v="0"/>
    <x v="0"/>
    <x v="0"/>
    <x v="0"/>
    <x v="166"/>
    <x v="2"/>
    <x v="166"/>
  </r>
  <r>
    <x v="108"/>
    <x v="167"/>
    <x v="3"/>
    <x v="1"/>
    <x v="4"/>
    <x v="1"/>
    <x v="9"/>
    <x v="167"/>
    <x v="2"/>
    <x v="167"/>
  </r>
  <r>
    <x v="58"/>
    <x v="168"/>
    <x v="4"/>
    <x v="3"/>
    <x v="5"/>
    <x v="3"/>
    <x v="4"/>
    <x v="168"/>
    <x v="1"/>
    <x v="168"/>
  </r>
  <r>
    <x v="77"/>
    <x v="169"/>
    <x v="2"/>
    <x v="2"/>
    <x v="2"/>
    <x v="2"/>
    <x v="2"/>
    <x v="169"/>
    <x v="2"/>
    <x v="169"/>
  </r>
  <r>
    <x v="45"/>
    <x v="170"/>
    <x v="3"/>
    <x v="0"/>
    <x v="3"/>
    <x v="0"/>
    <x v="8"/>
    <x v="170"/>
    <x v="3"/>
    <x v="170"/>
  </r>
  <r>
    <x v="109"/>
    <x v="171"/>
    <x v="0"/>
    <x v="2"/>
    <x v="2"/>
    <x v="2"/>
    <x v="1"/>
    <x v="171"/>
    <x v="3"/>
    <x v="171"/>
  </r>
  <r>
    <x v="49"/>
    <x v="172"/>
    <x v="4"/>
    <x v="1"/>
    <x v="1"/>
    <x v="1"/>
    <x v="6"/>
    <x v="172"/>
    <x v="3"/>
    <x v="172"/>
  </r>
  <r>
    <x v="110"/>
    <x v="173"/>
    <x v="3"/>
    <x v="1"/>
    <x v="1"/>
    <x v="1"/>
    <x v="5"/>
    <x v="173"/>
    <x v="2"/>
    <x v="173"/>
  </r>
  <r>
    <x v="111"/>
    <x v="174"/>
    <x v="0"/>
    <x v="1"/>
    <x v="4"/>
    <x v="1"/>
    <x v="9"/>
    <x v="174"/>
    <x v="2"/>
    <x v="174"/>
  </r>
  <r>
    <x v="49"/>
    <x v="175"/>
    <x v="4"/>
    <x v="1"/>
    <x v="4"/>
    <x v="1"/>
    <x v="5"/>
    <x v="175"/>
    <x v="2"/>
    <x v="175"/>
  </r>
  <r>
    <x v="112"/>
    <x v="176"/>
    <x v="0"/>
    <x v="2"/>
    <x v="2"/>
    <x v="2"/>
    <x v="4"/>
    <x v="176"/>
    <x v="2"/>
    <x v="176"/>
  </r>
  <r>
    <x v="113"/>
    <x v="177"/>
    <x v="2"/>
    <x v="2"/>
    <x v="2"/>
    <x v="2"/>
    <x v="3"/>
    <x v="177"/>
    <x v="1"/>
    <x v="177"/>
  </r>
  <r>
    <x v="95"/>
    <x v="178"/>
    <x v="0"/>
    <x v="1"/>
    <x v="4"/>
    <x v="1"/>
    <x v="2"/>
    <x v="178"/>
    <x v="0"/>
    <x v="178"/>
  </r>
  <r>
    <x v="114"/>
    <x v="179"/>
    <x v="2"/>
    <x v="1"/>
    <x v="4"/>
    <x v="1"/>
    <x v="8"/>
    <x v="179"/>
    <x v="0"/>
    <x v="179"/>
  </r>
  <r>
    <x v="115"/>
    <x v="180"/>
    <x v="4"/>
    <x v="0"/>
    <x v="0"/>
    <x v="0"/>
    <x v="4"/>
    <x v="180"/>
    <x v="3"/>
    <x v="180"/>
  </r>
  <r>
    <x v="60"/>
    <x v="181"/>
    <x v="4"/>
    <x v="3"/>
    <x v="5"/>
    <x v="3"/>
    <x v="5"/>
    <x v="181"/>
    <x v="0"/>
    <x v="181"/>
  </r>
  <r>
    <x v="116"/>
    <x v="182"/>
    <x v="5"/>
    <x v="3"/>
    <x v="5"/>
    <x v="3"/>
    <x v="9"/>
    <x v="182"/>
    <x v="1"/>
    <x v="182"/>
  </r>
  <r>
    <x v="117"/>
    <x v="183"/>
    <x v="2"/>
    <x v="1"/>
    <x v="1"/>
    <x v="1"/>
    <x v="9"/>
    <x v="183"/>
    <x v="0"/>
    <x v="183"/>
  </r>
  <r>
    <x v="54"/>
    <x v="184"/>
    <x v="0"/>
    <x v="0"/>
    <x v="3"/>
    <x v="0"/>
    <x v="8"/>
    <x v="184"/>
    <x v="3"/>
    <x v="184"/>
  </r>
  <r>
    <x v="118"/>
    <x v="185"/>
    <x v="1"/>
    <x v="1"/>
    <x v="1"/>
    <x v="1"/>
    <x v="1"/>
    <x v="185"/>
    <x v="3"/>
    <x v="185"/>
  </r>
  <r>
    <x v="119"/>
    <x v="186"/>
    <x v="2"/>
    <x v="0"/>
    <x v="0"/>
    <x v="0"/>
    <x v="6"/>
    <x v="186"/>
    <x v="2"/>
    <x v="186"/>
  </r>
  <r>
    <x v="2"/>
    <x v="187"/>
    <x v="4"/>
    <x v="0"/>
    <x v="0"/>
    <x v="0"/>
    <x v="9"/>
    <x v="187"/>
    <x v="2"/>
    <x v="187"/>
  </r>
  <r>
    <x v="120"/>
    <x v="188"/>
    <x v="4"/>
    <x v="1"/>
    <x v="1"/>
    <x v="1"/>
    <x v="2"/>
    <x v="188"/>
    <x v="0"/>
    <x v="188"/>
  </r>
  <r>
    <x v="121"/>
    <x v="189"/>
    <x v="3"/>
    <x v="2"/>
    <x v="2"/>
    <x v="2"/>
    <x v="5"/>
    <x v="189"/>
    <x v="1"/>
    <x v="189"/>
  </r>
  <r>
    <x v="75"/>
    <x v="190"/>
    <x v="4"/>
    <x v="1"/>
    <x v="4"/>
    <x v="1"/>
    <x v="5"/>
    <x v="190"/>
    <x v="3"/>
    <x v="190"/>
  </r>
  <r>
    <x v="6"/>
    <x v="191"/>
    <x v="4"/>
    <x v="1"/>
    <x v="4"/>
    <x v="1"/>
    <x v="5"/>
    <x v="191"/>
    <x v="2"/>
    <x v="191"/>
  </r>
  <r>
    <x v="10"/>
    <x v="192"/>
    <x v="3"/>
    <x v="1"/>
    <x v="1"/>
    <x v="1"/>
    <x v="5"/>
    <x v="192"/>
    <x v="1"/>
    <x v="192"/>
  </r>
  <r>
    <x v="122"/>
    <x v="193"/>
    <x v="1"/>
    <x v="1"/>
    <x v="4"/>
    <x v="1"/>
    <x v="7"/>
    <x v="193"/>
    <x v="2"/>
    <x v="193"/>
  </r>
  <r>
    <x v="123"/>
    <x v="194"/>
    <x v="3"/>
    <x v="0"/>
    <x v="0"/>
    <x v="0"/>
    <x v="5"/>
    <x v="194"/>
    <x v="3"/>
    <x v="194"/>
  </r>
  <r>
    <x v="70"/>
    <x v="195"/>
    <x v="4"/>
    <x v="2"/>
    <x v="2"/>
    <x v="2"/>
    <x v="7"/>
    <x v="195"/>
    <x v="2"/>
    <x v="195"/>
  </r>
  <r>
    <x v="123"/>
    <x v="196"/>
    <x v="0"/>
    <x v="1"/>
    <x v="4"/>
    <x v="1"/>
    <x v="4"/>
    <x v="196"/>
    <x v="0"/>
    <x v="196"/>
  </r>
  <r>
    <x v="124"/>
    <x v="197"/>
    <x v="4"/>
    <x v="0"/>
    <x v="3"/>
    <x v="0"/>
    <x v="5"/>
    <x v="197"/>
    <x v="3"/>
    <x v="197"/>
  </r>
  <r>
    <x v="64"/>
    <x v="198"/>
    <x v="3"/>
    <x v="1"/>
    <x v="4"/>
    <x v="1"/>
    <x v="4"/>
    <x v="198"/>
    <x v="3"/>
    <x v="198"/>
  </r>
  <r>
    <x v="125"/>
    <x v="199"/>
    <x v="3"/>
    <x v="1"/>
    <x v="1"/>
    <x v="1"/>
    <x v="3"/>
    <x v="199"/>
    <x v="2"/>
    <x v="199"/>
  </r>
  <r>
    <x v="24"/>
    <x v="200"/>
    <x v="2"/>
    <x v="1"/>
    <x v="1"/>
    <x v="1"/>
    <x v="8"/>
    <x v="200"/>
    <x v="2"/>
    <x v="200"/>
  </r>
  <r>
    <x v="49"/>
    <x v="201"/>
    <x v="1"/>
    <x v="3"/>
    <x v="5"/>
    <x v="3"/>
    <x v="6"/>
    <x v="201"/>
    <x v="1"/>
    <x v="201"/>
  </r>
  <r>
    <x v="125"/>
    <x v="202"/>
    <x v="0"/>
    <x v="0"/>
    <x v="0"/>
    <x v="0"/>
    <x v="4"/>
    <x v="202"/>
    <x v="0"/>
    <x v="202"/>
  </r>
  <r>
    <x v="93"/>
    <x v="203"/>
    <x v="4"/>
    <x v="2"/>
    <x v="2"/>
    <x v="2"/>
    <x v="6"/>
    <x v="203"/>
    <x v="0"/>
    <x v="203"/>
  </r>
  <r>
    <x v="76"/>
    <x v="204"/>
    <x v="2"/>
    <x v="0"/>
    <x v="3"/>
    <x v="0"/>
    <x v="4"/>
    <x v="204"/>
    <x v="3"/>
    <x v="204"/>
  </r>
  <r>
    <x v="123"/>
    <x v="205"/>
    <x v="3"/>
    <x v="3"/>
    <x v="5"/>
    <x v="3"/>
    <x v="1"/>
    <x v="205"/>
    <x v="0"/>
    <x v="205"/>
  </r>
  <r>
    <x v="59"/>
    <x v="206"/>
    <x v="0"/>
    <x v="1"/>
    <x v="4"/>
    <x v="1"/>
    <x v="2"/>
    <x v="206"/>
    <x v="0"/>
    <x v="206"/>
  </r>
  <r>
    <x v="126"/>
    <x v="207"/>
    <x v="5"/>
    <x v="1"/>
    <x v="1"/>
    <x v="1"/>
    <x v="5"/>
    <x v="207"/>
    <x v="3"/>
    <x v="207"/>
  </r>
  <r>
    <x v="33"/>
    <x v="208"/>
    <x v="4"/>
    <x v="1"/>
    <x v="1"/>
    <x v="1"/>
    <x v="2"/>
    <x v="208"/>
    <x v="3"/>
    <x v="208"/>
  </r>
  <r>
    <x v="5"/>
    <x v="209"/>
    <x v="1"/>
    <x v="1"/>
    <x v="4"/>
    <x v="1"/>
    <x v="0"/>
    <x v="209"/>
    <x v="3"/>
    <x v="209"/>
  </r>
  <r>
    <x v="127"/>
    <x v="210"/>
    <x v="1"/>
    <x v="3"/>
    <x v="5"/>
    <x v="3"/>
    <x v="2"/>
    <x v="210"/>
    <x v="2"/>
    <x v="210"/>
  </r>
  <r>
    <x v="126"/>
    <x v="211"/>
    <x v="4"/>
    <x v="1"/>
    <x v="4"/>
    <x v="1"/>
    <x v="2"/>
    <x v="211"/>
    <x v="0"/>
    <x v="211"/>
  </r>
  <r>
    <x v="128"/>
    <x v="212"/>
    <x v="4"/>
    <x v="1"/>
    <x v="1"/>
    <x v="1"/>
    <x v="7"/>
    <x v="212"/>
    <x v="1"/>
    <x v="212"/>
  </r>
  <r>
    <x v="129"/>
    <x v="213"/>
    <x v="5"/>
    <x v="1"/>
    <x v="4"/>
    <x v="1"/>
    <x v="0"/>
    <x v="213"/>
    <x v="0"/>
    <x v="213"/>
  </r>
  <r>
    <x v="36"/>
    <x v="214"/>
    <x v="5"/>
    <x v="3"/>
    <x v="5"/>
    <x v="3"/>
    <x v="1"/>
    <x v="214"/>
    <x v="2"/>
    <x v="214"/>
  </r>
  <r>
    <x v="130"/>
    <x v="215"/>
    <x v="4"/>
    <x v="0"/>
    <x v="0"/>
    <x v="0"/>
    <x v="0"/>
    <x v="215"/>
    <x v="0"/>
    <x v="215"/>
  </r>
  <r>
    <x v="16"/>
    <x v="216"/>
    <x v="5"/>
    <x v="0"/>
    <x v="0"/>
    <x v="0"/>
    <x v="1"/>
    <x v="216"/>
    <x v="0"/>
    <x v="216"/>
  </r>
  <r>
    <x v="124"/>
    <x v="217"/>
    <x v="1"/>
    <x v="1"/>
    <x v="1"/>
    <x v="1"/>
    <x v="4"/>
    <x v="217"/>
    <x v="3"/>
    <x v="217"/>
  </r>
  <r>
    <x v="40"/>
    <x v="218"/>
    <x v="3"/>
    <x v="2"/>
    <x v="2"/>
    <x v="2"/>
    <x v="5"/>
    <x v="218"/>
    <x v="0"/>
    <x v="218"/>
  </r>
  <r>
    <x v="23"/>
    <x v="219"/>
    <x v="4"/>
    <x v="0"/>
    <x v="0"/>
    <x v="0"/>
    <x v="5"/>
    <x v="219"/>
    <x v="0"/>
    <x v="219"/>
  </r>
  <r>
    <x v="73"/>
    <x v="220"/>
    <x v="1"/>
    <x v="0"/>
    <x v="0"/>
    <x v="0"/>
    <x v="7"/>
    <x v="220"/>
    <x v="3"/>
    <x v="220"/>
  </r>
  <r>
    <x v="24"/>
    <x v="221"/>
    <x v="2"/>
    <x v="3"/>
    <x v="5"/>
    <x v="3"/>
    <x v="8"/>
    <x v="221"/>
    <x v="0"/>
    <x v="221"/>
  </r>
  <r>
    <x v="131"/>
    <x v="222"/>
    <x v="1"/>
    <x v="0"/>
    <x v="3"/>
    <x v="0"/>
    <x v="4"/>
    <x v="222"/>
    <x v="0"/>
    <x v="222"/>
  </r>
  <r>
    <x v="26"/>
    <x v="223"/>
    <x v="1"/>
    <x v="1"/>
    <x v="4"/>
    <x v="1"/>
    <x v="8"/>
    <x v="223"/>
    <x v="3"/>
    <x v="223"/>
  </r>
  <r>
    <x v="77"/>
    <x v="224"/>
    <x v="0"/>
    <x v="1"/>
    <x v="4"/>
    <x v="1"/>
    <x v="8"/>
    <x v="224"/>
    <x v="2"/>
    <x v="224"/>
  </r>
  <r>
    <x v="132"/>
    <x v="225"/>
    <x v="5"/>
    <x v="1"/>
    <x v="1"/>
    <x v="1"/>
    <x v="8"/>
    <x v="225"/>
    <x v="1"/>
    <x v="225"/>
  </r>
  <r>
    <x v="25"/>
    <x v="226"/>
    <x v="3"/>
    <x v="1"/>
    <x v="4"/>
    <x v="1"/>
    <x v="8"/>
    <x v="226"/>
    <x v="0"/>
    <x v="226"/>
  </r>
  <r>
    <x v="133"/>
    <x v="227"/>
    <x v="5"/>
    <x v="0"/>
    <x v="0"/>
    <x v="0"/>
    <x v="7"/>
    <x v="227"/>
    <x v="0"/>
    <x v="227"/>
  </r>
  <r>
    <x v="84"/>
    <x v="228"/>
    <x v="2"/>
    <x v="3"/>
    <x v="5"/>
    <x v="3"/>
    <x v="9"/>
    <x v="228"/>
    <x v="3"/>
    <x v="228"/>
  </r>
  <r>
    <x v="134"/>
    <x v="229"/>
    <x v="1"/>
    <x v="0"/>
    <x v="3"/>
    <x v="0"/>
    <x v="2"/>
    <x v="229"/>
    <x v="1"/>
    <x v="229"/>
  </r>
  <r>
    <x v="99"/>
    <x v="230"/>
    <x v="3"/>
    <x v="3"/>
    <x v="5"/>
    <x v="3"/>
    <x v="3"/>
    <x v="230"/>
    <x v="1"/>
    <x v="230"/>
  </r>
  <r>
    <x v="70"/>
    <x v="231"/>
    <x v="2"/>
    <x v="2"/>
    <x v="2"/>
    <x v="2"/>
    <x v="8"/>
    <x v="231"/>
    <x v="2"/>
    <x v="231"/>
  </r>
  <r>
    <x v="34"/>
    <x v="232"/>
    <x v="4"/>
    <x v="0"/>
    <x v="0"/>
    <x v="0"/>
    <x v="6"/>
    <x v="232"/>
    <x v="0"/>
    <x v="232"/>
  </r>
  <r>
    <x v="12"/>
    <x v="233"/>
    <x v="5"/>
    <x v="0"/>
    <x v="3"/>
    <x v="0"/>
    <x v="5"/>
    <x v="233"/>
    <x v="0"/>
    <x v="233"/>
  </r>
  <r>
    <x v="135"/>
    <x v="234"/>
    <x v="2"/>
    <x v="1"/>
    <x v="1"/>
    <x v="1"/>
    <x v="9"/>
    <x v="234"/>
    <x v="3"/>
    <x v="234"/>
  </r>
  <r>
    <x v="113"/>
    <x v="235"/>
    <x v="3"/>
    <x v="2"/>
    <x v="2"/>
    <x v="2"/>
    <x v="7"/>
    <x v="235"/>
    <x v="0"/>
    <x v="235"/>
  </r>
  <r>
    <x v="54"/>
    <x v="236"/>
    <x v="1"/>
    <x v="2"/>
    <x v="2"/>
    <x v="2"/>
    <x v="1"/>
    <x v="236"/>
    <x v="1"/>
    <x v="236"/>
  </r>
  <r>
    <x v="136"/>
    <x v="237"/>
    <x v="3"/>
    <x v="0"/>
    <x v="3"/>
    <x v="0"/>
    <x v="8"/>
    <x v="237"/>
    <x v="3"/>
    <x v="237"/>
  </r>
  <r>
    <x v="137"/>
    <x v="238"/>
    <x v="4"/>
    <x v="0"/>
    <x v="3"/>
    <x v="0"/>
    <x v="6"/>
    <x v="238"/>
    <x v="0"/>
    <x v="238"/>
  </r>
  <r>
    <x v="138"/>
    <x v="239"/>
    <x v="0"/>
    <x v="1"/>
    <x v="1"/>
    <x v="1"/>
    <x v="8"/>
    <x v="239"/>
    <x v="3"/>
    <x v="239"/>
  </r>
  <r>
    <x v="67"/>
    <x v="240"/>
    <x v="4"/>
    <x v="0"/>
    <x v="3"/>
    <x v="0"/>
    <x v="4"/>
    <x v="240"/>
    <x v="2"/>
    <x v="240"/>
  </r>
  <r>
    <x v="8"/>
    <x v="241"/>
    <x v="5"/>
    <x v="0"/>
    <x v="3"/>
    <x v="0"/>
    <x v="8"/>
    <x v="241"/>
    <x v="2"/>
    <x v="241"/>
  </r>
  <r>
    <x v="139"/>
    <x v="242"/>
    <x v="3"/>
    <x v="0"/>
    <x v="3"/>
    <x v="0"/>
    <x v="1"/>
    <x v="242"/>
    <x v="2"/>
    <x v="242"/>
  </r>
  <r>
    <x v="53"/>
    <x v="243"/>
    <x v="5"/>
    <x v="0"/>
    <x v="3"/>
    <x v="0"/>
    <x v="1"/>
    <x v="243"/>
    <x v="2"/>
    <x v="243"/>
  </r>
  <r>
    <x v="8"/>
    <x v="244"/>
    <x v="2"/>
    <x v="3"/>
    <x v="5"/>
    <x v="3"/>
    <x v="1"/>
    <x v="244"/>
    <x v="2"/>
    <x v="244"/>
  </r>
  <r>
    <x v="111"/>
    <x v="245"/>
    <x v="1"/>
    <x v="2"/>
    <x v="2"/>
    <x v="2"/>
    <x v="9"/>
    <x v="245"/>
    <x v="2"/>
    <x v="245"/>
  </r>
  <r>
    <x v="113"/>
    <x v="246"/>
    <x v="4"/>
    <x v="3"/>
    <x v="5"/>
    <x v="3"/>
    <x v="6"/>
    <x v="246"/>
    <x v="3"/>
    <x v="246"/>
  </r>
  <r>
    <x v="139"/>
    <x v="247"/>
    <x v="3"/>
    <x v="1"/>
    <x v="1"/>
    <x v="1"/>
    <x v="2"/>
    <x v="247"/>
    <x v="0"/>
    <x v="247"/>
  </r>
  <r>
    <x v="91"/>
    <x v="248"/>
    <x v="5"/>
    <x v="3"/>
    <x v="5"/>
    <x v="3"/>
    <x v="5"/>
    <x v="248"/>
    <x v="0"/>
    <x v="248"/>
  </r>
  <r>
    <x v="94"/>
    <x v="249"/>
    <x v="2"/>
    <x v="1"/>
    <x v="1"/>
    <x v="1"/>
    <x v="6"/>
    <x v="249"/>
    <x v="3"/>
    <x v="249"/>
  </r>
  <r>
    <x v="51"/>
    <x v="250"/>
    <x v="3"/>
    <x v="2"/>
    <x v="2"/>
    <x v="2"/>
    <x v="7"/>
    <x v="250"/>
    <x v="1"/>
    <x v="250"/>
  </r>
  <r>
    <x v="98"/>
    <x v="251"/>
    <x v="5"/>
    <x v="3"/>
    <x v="5"/>
    <x v="3"/>
    <x v="8"/>
    <x v="251"/>
    <x v="2"/>
    <x v="251"/>
  </r>
  <r>
    <x v="104"/>
    <x v="252"/>
    <x v="0"/>
    <x v="1"/>
    <x v="1"/>
    <x v="1"/>
    <x v="0"/>
    <x v="252"/>
    <x v="2"/>
    <x v="252"/>
  </r>
  <r>
    <x v="140"/>
    <x v="253"/>
    <x v="5"/>
    <x v="1"/>
    <x v="4"/>
    <x v="1"/>
    <x v="4"/>
    <x v="253"/>
    <x v="1"/>
    <x v="253"/>
  </r>
  <r>
    <x v="71"/>
    <x v="254"/>
    <x v="1"/>
    <x v="1"/>
    <x v="4"/>
    <x v="1"/>
    <x v="0"/>
    <x v="254"/>
    <x v="0"/>
    <x v="254"/>
  </r>
  <r>
    <x v="121"/>
    <x v="255"/>
    <x v="3"/>
    <x v="1"/>
    <x v="1"/>
    <x v="1"/>
    <x v="4"/>
    <x v="255"/>
    <x v="3"/>
    <x v="255"/>
  </r>
  <r>
    <x v="11"/>
    <x v="256"/>
    <x v="4"/>
    <x v="0"/>
    <x v="0"/>
    <x v="0"/>
    <x v="3"/>
    <x v="256"/>
    <x v="2"/>
    <x v="256"/>
  </r>
  <r>
    <x v="74"/>
    <x v="257"/>
    <x v="2"/>
    <x v="3"/>
    <x v="5"/>
    <x v="3"/>
    <x v="3"/>
    <x v="257"/>
    <x v="2"/>
    <x v="257"/>
  </r>
  <r>
    <x v="129"/>
    <x v="258"/>
    <x v="2"/>
    <x v="2"/>
    <x v="2"/>
    <x v="2"/>
    <x v="1"/>
    <x v="258"/>
    <x v="0"/>
    <x v="258"/>
  </r>
  <r>
    <x v="120"/>
    <x v="259"/>
    <x v="1"/>
    <x v="1"/>
    <x v="1"/>
    <x v="1"/>
    <x v="8"/>
    <x v="259"/>
    <x v="0"/>
    <x v="259"/>
  </r>
  <r>
    <x v="125"/>
    <x v="260"/>
    <x v="5"/>
    <x v="3"/>
    <x v="5"/>
    <x v="3"/>
    <x v="6"/>
    <x v="260"/>
    <x v="3"/>
    <x v="260"/>
  </r>
  <r>
    <x v="44"/>
    <x v="261"/>
    <x v="0"/>
    <x v="0"/>
    <x v="0"/>
    <x v="0"/>
    <x v="0"/>
    <x v="261"/>
    <x v="1"/>
    <x v="261"/>
  </r>
  <r>
    <x v="67"/>
    <x v="262"/>
    <x v="4"/>
    <x v="0"/>
    <x v="3"/>
    <x v="0"/>
    <x v="6"/>
    <x v="262"/>
    <x v="1"/>
    <x v="262"/>
  </r>
  <r>
    <x v="141"/>
    <x v="263"/>
    <x v="4"/>
    <x v="2"/>
    <x v="2"/>
    <x v="2"/>
    <x v="6"/>
    <x v="263"/>
    <x v="1"/>
    <x v="263"/>
  </r>
  <r>
    <x v="127"/>
    <x v="264"/>
    <x v="5"/>
    <x v="1"/>
    <x v="4"/>
    <x v="1"/>
    <x v="5"/>
    <x v="264"/>
    <x v="3"/>
    <x v="264"/>
  </r>
  <r>
    <x v="131"/>
    <x v="265"/>
    <x v="5"/>
    <x v="1"/>
    <x v="4"/>
    <x v="1"/>
    <x v="5"/>
    <x v="265"/>
    <x v="2"/>
    <x v="265"/>
  </r>
  <r>
    <x v="33"/>
    <x v="266"/>
    <x v="3"/>
    <x v="3"/>
    <x v="5"/>
    <x v="3"/>
    <x v="4"/>
    <x v="266"/>
    <x v="1"/>
    <x v="266"/>
  </r>
  <r>
    <x v="70"/>
    <x v="267"/>
    <x v="3"/>
    <x v="3"/>
    <x v="5"/>
    <x v="3"/>
    <x v="2"/>
    <x v="267"/>
    <x v="2"/>
    <x v="267"/>
  </r>
  <r>
    <x v="12"/>
    <x v="268"/>
    <x v="1"/>
    <x v="1"/>
    <x v="4"/>
    <x v="1"/>
    <x v="8"/>
    <x v="268"/>
    <x v="0"/>
    <x v="268"/>
  </r>
  <r>
    <x v="142"/>
    <x v="269"/>
    <x v="0"/>
    <x v="0"/>
    <x v="3"/>
    <x v="0"/>
    <x v="3"/>
    <x v="269"/>
    <x v="1"/>
    <x v="269"/>
  </r>
  <r>
    <x v="27"/>
    <x v="270"/>
    <x v="5"/>
    <x v="2"/>
    <x v="2"/>
    <x v="2"/>
    <x v="3"/>
    <x v="270"/>
    <x v="3"/>
    <x v="270"/>
  </r>
  <r>
    <x v="143"/>
    <x v="271"/>
    <x v="5"/>
    <x v="3"/>
    <x v="5"/>
    <x v="3"/>
    <x v="2"/>
    <x v="271"/>
    <x v="1"/>
    <x v="271"/>
  </r>
  <r>
    <x v="127"/>
    <x v="272"/>
    <x v="0"/>
    <x v="0"/>
    <x v="3"/>
    <x v="0"/>
    <x v="3"/>
    <x v="272"/>
    <x v="0"/>
    <x v="272"/>
  </r>
  <r>
    <x v="40"/>
    <x v="273"/>
    <x v="3"/>
    <x v="1"/>
    <x v="1"/>
    <x v="1"/>
    <x v="4"/>
    <x v="273"/>
    <x v="3"/>
    <x v="273"/>
  </r>
  <r>
    <x v="144"/>
    <x v="274"/>
    <x v="0"/>
    <x v="1"/>
    <x v="1"/>
    <x v="1"/>
    <x v="5"/>
    <x v="274"/>
    <x v="0"/>
    <x v="274"/>
  </r>
  <r>
    <x v="4"/>
    <x v="275"/>
    <x v="0"/>
    <x v="1"/>
    <x v="4"/>
    <x v="1"/>
    <x v="1"/>
    <x v="275"/>
    <x v="0"/>
    <x v="275"/>
  </r>
  <r>
    <x v="145"/>
    <x v="276"/>
    <x v="0"/>
    <x v="0"/>
    <x v="3"/>
    <x v="0"/>
    <x v="7"/>
    <x v="276"/>
    <x v="3"/>
    <x v="276"/>
  </r>
  <r>
    <x v="38"/>
    <x v="277"/>
    <x v="4"/>
    <x v="1"/>
    <x v="4"/>
    <x v="1"/>
    <x v="4"/>
    <x v="277"/>
    <x v="3"/>
    <x v="277"/>
  </r>
  <r>
    <x v="35"/>
    <x v="278"/>
    <x v="3"/>
    <x v="0"/>
    <x v="0"/>
    <x v="0"/>
    <x v="5"/>
    <x v="278"/>
    <x v="3"/>
    <x v="278"/>
  </r>
  <r>
    <x v="124"/>
    <x v="279"/>
    <x v="2"/>
    <x v="1"/>
    <x v="4"/>
    <x v="1"/>
    <x v="1"/>
    <x v="279"/>
    <x v="2"/>
    <x v="279"/>
  </r>
  <r>
    <x v="63"/>
    <x v="280"/>
    <x v="1"/>
    <x v="2"/>
    <x v="2"/>
    <x v="2"/>
    <x v="8"/>
    <x v="280"/>
    <x v="3"/>
    <x v="280"/>
  </r>
  <r>
    <x v="84"/>
    <x v="281"/>
    <x v="5"/>
    <x v="3"/>
    <x v="5"/>
    <x v="3"/>
    <x v="6"/>
    <x v="281"/>
    <x v="1"/>
    <x v="281"/>
  </r>
  <r>
    <x v="61"/>
    <x v="282"/>
    <x v="0"/>
    <x v="3"/>
    <x v="5"/>
    <x v="3"/>
    <x v="5"/>
    <x v="282"/>
    <x v="1"/>
    <x v="282"/>
  </r>
  <r>
    <x v="146"/>
    <x v="283"/>
    <x v="2"/>
    <x v="1"/>
    <x v="4"/>
    <x v="1"/>
    <x v="3"/>
    <x v="283"/>
    <x v="2"/>
    <x v="283"/>
  </r>
  <r>
    <x v="147"/>
    <x v="284"/>
    <x v="1"/>
    <x v="1"/>
    <x v="1"/>
    <x v="1"/>
    <x v="5"/>
    <x v="284"/>
    <x v="1"/>
    <x v="284"/>
  </r>
  <r>
    <x v="47"/>
    <x v="285"/>
    <x v="5"/>
    <x v="3"/>
    <x v="5"/>
    <x v="3"/>
    <x v="6"/>
    <x v="285"/>
    <x v="0"/>
    <x v="285"/>
  </r>
  <r>
    <x v="95"/>
    <x v="286"/>
    <x v="3"/>
    <x v="1"/>
    <x v="4"/>
    <x v="1"/>
    <x v="8"/>
    <x v="286"/>
    <x v="1"/>
    <x v="286"/>
  </r>
  <r>
    <x v="56"/>
    <x v="287"/>
    <x v="4"/>
    <x v="1"/>
    <x v="1"/>
    <x v="1"/>
    <x v="6"/>
    <x v="287"/>
    <x v="3"/>
    <x v="287"/>
  </r>
  <r>
    <x v="19"/>
    <x v="288"/>
    <x v="3"/>
    <x v="1"/>
    <x v="1"/>
    <x v="1"/>
    <x v="9"/>
    <x v="288"/>
    <x v="1"/>
    <x v="288"/>
  </r>
  <r>
    <x v="148"/>
    <x v="289"/>
    <x v="4"/>
    <x v="2"/>
    <x v="2"/>
    <x v="2"/>
    <x v="8"/>
    <x v="289"/>
    <x v="1"/>
    <x v="289"/>
  </r>
  <r>
    <x v="149"/>
    <x v="290"/>
    <x v="3"/>
    <x v="3"/>
    <x v="5"/>
    <x v="3"/>
    <x v="6"/>
    <x v="290"/>
    <x v="0"/>
    <x v="290"/>
  </r>
  <r>
    <x v="135"/>
    <x v="291"/>
    <x v="4"/>
    <x v="0"/>
    <x v="3"/>
    <x v="0"/>
    <x v="2"/>
    <x v="291"/>
    <x v="1"/>
    <x v="291"/>
  </r>
  <r>
    <x v="137"/>
    <x v="292"/>
    <x v="2"/>
    <x v="1"/>
    <x v="1"/>
    <x v="1"/>
    <x v="5"/>
    <x v="292"/>
    <x v="3"/>
    <x v="292"/>
  </r>
  <r>
    <x v="117"/>
    <x v="293"/>
    <x v="2"/>
    <x v="0"/>
    <x v="3"/>
    <x v="0"/>
    <x v="1"/>
    <x v="293"/>
    <x v="3"/>
    <x v="293"/>
  </r>
  <r>
    <x v="70"/>
    <x v="294"/>
    <x v="2"/>
    <x v="1"/>
    <x v="1"/>
    <x v="1"/>
    <x v="8"/>
    <x v="294"/>
    <x v="3"/>
    <x v="294"/>
  </r>
  <r>
    <x v="15"/>
    <x v="295"/>
    <x v="5"/>
    <x v="1"/>
    <x v="1"/>
    <x v="1"/>
    <x v="3"/>
    <x v="295"/>
    <x v="3"/>
    <x v="295"/>
  </r>
  <r>
    <x v="63"/>
    <x v="296"/>
    <x v="3"/>
    <x v="1"/>
    <x v="4"/>
    <x v="1"/>
    <x v="9"/>
    <x v="296"/>
    <x v="3"/>
    <x v="296"/>
  </r>
  <r>
    <x v="131"/>
    <x v="297"/>
    <x v="5"/>
    <x v="3"/>
    <x v="5"/>
    <x v="3"/>
    <x v="5"/>
    <x v="297"/>
    <x v="1"/>
    <x v="297"/>
  </r>
  <r>
    <x v="116"/>
    <x v="298"/>
    <x v="5"/>
    <x v="2"/>
    <x v="2"/>
    <x v="2"/>
    <x v="6"/>
    <x v="298"/>
    <x v="1"/>
    <x v="298"/>
  </r>
  <r>
    <x v="150"/>
    <x v="299"/>
    <x v="3"/>
    <x v="0"/>
    <x v="0"/>
    <x v="0"/>
    <x v="4"/>
    <x v="299"/>
    <x v="1"/>
    <x v="299"/>
  </r>
  <r>
    <x v="21"/>
    <x v="300"/>
    <x v="2"/>
    <x v="0"/>
    <x v="0"/>
    <x v="0"/>
    <x v="6"/>
    <x v="300"/>
    <x v="2"/>
    <x v="300"/>
  </r>
  <r>
    <x v="74"/>
    <x v="301"/>
    <x v="3"/>
    <x v="3"/>
    <x v="5"/>
    <x v="3"/>
    <x v="9"/>
    <x v="301"/>
    <x v="1"/>
    <x v="301"/>
  </r>
  <r>
    <x v="42"/>
    <x v="302"/>
    <x v="4"/>
    <x v="1"/>
    <x v="4"/>
    <x v="1"/>
    <x v="2"/>
    <x v="302"/>
    <x v="1"/>
    <x v="302"/>
  </r>
  <r>
    <x v="43"/>
    <x v="303"/>
    <x v="0"/>
    <x v="0"/>
    <x v="3"/>
    <x v="0"/>
    <x v="5"/>
    <x v="303"/>
    <x v="2"/>
    <x v="303"/>
  </r>
  <r>
    <x v="151"/>
    <x v="304"/>
    <x v="1"/>
    <x v="1"/>
    <x v="4"/>
    <x v="1"/>
    <x v="4"/>
    <x v="304"/>
    <x v="0"/>
    <x v="304"/>
  </r>
  <r>
    <x v="141"/>
    <x v="305"/>
    <x v="2"/>
    <x v="0"/>
    <x v="3"/>
    <x v="0"/>
    <x v="6"/>
    <x v="305"/>
    <x v="2"/>
    <x v="305"/>
  </r>
  <r>
    <x v="0"/>
    <x v="306"/>
    <x v="2"/>
    <x v="1"/>
    <x v="1"/>
    <x v="1"/>
    <x v="2"/>
    <x v="306"/>
    <x v="1"/>
    <x v="306"/>
  </r>
  <r>
    <x v="134"/>
    <x v="307"/>
    <x v="0"/>
    <x v="0"/>
    <x v="3"/>
    <x v="0"/>
    <x v="0"/>
    <x v="307"/>
    <x v="2"/>
    <x v="307"/>
  </r>
  <r>
    <x v="152"/>
    <x v="308"/>
    <x v="0"/>
    <x v="1"/>
    <x v="1"/>
    <x v="1"/>
    <x v="8"/>
    <x v="308"/>
    <x v="3"/>
    <x v="308"/>
  </r>
  <r>
    <x v="61"/>
    <x v="309"/>
    <x v="5"/>
    <x v="1"/>
    <x v="1"/>
    <x v="1"/>
    <x v="3"/>
    <x v="309"/>
    <x v="2"/>
    <x v="309"/>
  </r>
  <r>
    <x v="109"/>
    <x v="310"/>
    <x v="2"/>
    <x v="3"/>
    <x v="5"/>
    <x v="3"/>
    <x v="2"/>
    <x v="310"/>
    <x v="0"/>
    <x v="310"/>
  </r>
  <r>
    <x v="141"/>
    <x v="311"/>
    <x v="0"/>
    <x v="0"/>
    <x v="0"/>
    <x v="0"/>
    <x v="3"/>
    <x v="311"/>
    <x v="0"/>
    <x v="311"/>
  </r>
  <r>
    <x v="111"/>
    <x v="312"/>
    <x v="2"/>
    <x v="1"/>
    <x v="1"/>
    <x v="1"/>
    <x v="2"/>
    <x v="312"/>
    <x v="1"/>
    <x v="312"/>
  </r>
  <r>
    <x v="148"/>
    <x v="313"/>
    <x v="3"/>
    <x v="3"/>
    <x v="5"/>
    <x v="3"/>
    <x v="5"/>
    <x v="313"/>
    <x v="0"/>
    <x v="313"/>
  </r>
  <r>
    <x v="7"/>
    <x v="314"/>
    <x v="4"/>
    <x v="3"/>
    <x v="5"/>
    <x v="3"/>
    <x v="5"/>
    <x v="314"/>
    <x v="3"/>
    <x v="314"/>
  </r>
  <r>
    <x v="79"/>
    <x v="315"/>
    <x v="2"/>
    <x v="0"/>
    <x v="3"/>
    <x v="0"/>
    <x v="3"/>
    <x v="315"/>
    <x v="1"/>
    <x v="315"/>
  </r>
  <r>
    <x v="138"/>
    <x v="316"/>
    <x v="0"/>
    <x v="3"/>
    <x v="5"/>
    <x v="3"/>
    <x v="8"/>
    <x v="316"/>
    <x v="0"/>
    <x v="316"/>
  </r>
  <r>
    <x v="104"/>
    <x v="317"/>
    <x v="1"/>
    <x v="1"/>
    <x v="1"/>
    <x v="1"/>
    <x v="7"/>
    <x v="317"/>
    <x v="0"/>
    <x v="317"/>
  </r>
  <r>
    <x v="137"/>
    <x v="318"/>
    <x v="0"/>
    <x v="3"/>
    <x v="5"/>
    <x v="3"/>
    <x v="2"/>
    <x v="318"/>
    <x v="3"/>
    <x v="318"/>
  </r>
  <r>
    <x v="26"/>
    <x v="319"/>
    <x v="0"/>
    <x v="1"/>
    <x v="1"/>
    <x v="1"/>
    <x v="8"/>
    <x v="319"/>
    <x v="1"/>
    <x v="319"/>
  </r>
  <r>
    <x v="40"/>
    <x v="320"/>
    <x v="1"/>
    <x v="1"/>
    <x v="1"/>
    <x v="1"/>
    <x v="9"/>
    <x v="320"/>
    <x v="3"/>
    <x v="320"/>
  </r>
  <r>
    <x v="46"/>
    <x v="321"/>
    <x v="5"/>
    <x v="0"/>
    <x v="3"/>
    <x v="0"/>
    <x v="2"/>
    <x v="321"/>
    <x v="2"/>
    <x v="321"/>
  </r>
  <r>
    <x v="80"/>
    <x v="322"/>
    <x v="1"/>
    <x v="0"/>
    <x v="0"/>
    <x v="0"/>
    <x v="5"/>
    <x v="322"/>
    <x v="1"/>
    <x v="322"/>
  </r>
  <r>
    <x v="29"/>
    <x v="323"/>
    <x v="1"/>
    <x v="2"/>
    <x v="2"/>
    <x v="2"/>
    <x v="5"/>
    <x v="323"/>
    <x v="2"/>
    <x v="323"/>
  </r>
  <r>
    <x v="17"/>
    <x v="324"/>
    <x v="3"/>
    <x v="1"/>
    <x v="4"/>
    <x v="1"/>
    <x v="1"/>
    <x v="324"/>
    <x v="1"/>
    <x v="324"/>
  </r>
  <r>
    <x v="147"/>
    <x v="325"/>
    <x v="0"/>
    <x v="3"/>
    <x v="5"/>
    <x v="3"/>
    <x v="7"/>
    <x v="325"/>
    <x v="3"/>
    <x v="325"/>
  </r>
  <r>
    <x v="143"/>
    <x v="326"/>
    <x v="4"/>
    <x v="2"/>
    <x v="2"/>
    <x v="2"/>
    <x v="1"/>
    <x v="326"/>
    <x v="2"/>
    <x v="326"/>
  </r>
  <r>
    <x v="32"/>
    <x v="327"/>
    <x v="2"/>
    <x v="2"/>
    <x v="2"/>
    <x v="2"/>
    <x v="7"/>
    <x v="327"/>
    <x v="0"/>
    <x v="327"/>
  </r>
  <r>
    <x v="153"/>
    <x v="328"/>
    <x v="2"/>
    <x v="1"/>
    <x v="4"/>
    <x v="1"/>
    <x v="3"/>
    <x v="328"/>
    <x v="0"/>
    <x v="328"/>
  </r>
  <r>
    <x v="9"/>
    <x v="329"/>
    <x v="2"/>
    <x v="3"/>
    <x v="5"/>
    <x v="3"/>
    <x v="6"/>
    <x v="329"/>
    <x v="0"/>
    <x v="329"/>
  </r>
  <r>
    <x v="84"/>
    <x v="330"/>
    <x v="5"/>
    <x v="2"/>
    <x v="2"/>
    <x v="2"/>
    <x v="6"/>
    <x v="330"/>
    <x v="1"/>
    <x v="330"/>
  </r>
  <r>
    <x v="17"/>
    <x v="331"/>
    <x v="4"/>
    <x v="0"/>
    <x v="3"/>
    <x v="0"/>
    <x v="9"/>
    <x v="331"/>
    <x v="0"/>
    <x v="331"/>
  </r>
  <r>
    <x v="81"/>
    <x v="332"/>
    <x v="3"/>
    <x v="3"/>
    <x v="5"/>
    <x v="3"/>
    <x v="6"/>
    <x v="332"/>
    <x v="1"/>
    <x v="332"/>
  </r>
  <r>
    <x v="11"/>
    <x v="333"/>
    <x v="2"/>
    <x v="1"/>
    <x v="1"/>
    <x v="1"/>
    <x v="2"/>
    <x v="333"/>
    <x v="1"/>
    <x v="333"/>
  </r>
  <r>
    <x v="89"/>
    <x v="334"/>
    <x v="5"/>
    <x v="0"/>
    <x v="3"/>
    <x v="0"/>
    <x v="2"/>
    <x v="334"/>
    <x v="1"/>
    <x v="334"/>
  </r>
  <r>
    <x v="90"/>
    <x v="335"/>
    <x v="5"/>
    <x v="0"/>
    <x v="3"/>
    <x v="0"/>
    <x v="4"/>
    <x v="335"/>
    <x v="1"/>
    <x v="335"/>
  </r>
  <r>
    <x v="98"/>
    <x v="336"/>
    <x v="4"/>
    <x v="3"/>
    <x v="5"/>
    <x v="3"/>
    <x v="4"/>
    <x v="336"/>
    <x v="1"/>
    <x v="336"/>
  </r>
  <r>
    <x v="36"/>
    <x v="337"/>
    <x v="1"/>
    <x v="0"/>
    <x v="0"/>
    <x v="0"/>
    <x v="8"/>
    <x v="337"/>
    <x v="1"/>
    <x v="337"/>
  </r>
  <r>
    <x v="83"/>
    <x v="338"/>
    <x v="1"/>
    <x v="1"/>
    <x v="1"/>
    <x v="1"/>
    <x v="9"/>
    <x v="338"/>
    <x v="2"/>
    <x v="338"/>
  </r>
  <r>
    <x v="46"/>
    <x v="339"/>
    <x v="0"/>
    <x v="1"/>
    <x v="1"/>
    <x v="1"/>
    <x v="3"/>
    <x v="339"/>
    <x v="3"/>
    <x v="339"/>
  </r>
  <r>
    <x v="154"/>
    <x v="340"/>
    <x v="5"/>
    <x v="1"/>
    <x v="1"/>
    <x v="1"/>
    <x v="0"/>
    <x v="340"/>
    <x v="1"/>
    <x v="340"/>
  </r>
  <r>
    <x v="17"/>
    <x v="341"/>
    <x v="0"/>
    <x v="3"/>
    <x v="5"/>
    <x v="3"/>
    <x v="5"/>
    <x v="341"/>
    <x v="2"/>
    <x v="341"/>
  </r>
  <r>
    <x v="152"/>
    <x v="342"/>
    <x v="5"/>
    <x v="1"/>
    <x v="4"/>
    <x v="1"/>
    <x v="4"/>
    <x v="342"/>
    <x v="3"/>
    <x v="342"/>
  </r>
  <r>
    <x v="87"/>
    <x v="343"/>
    <x v="5"/>
    <x v="0"/>
    <x v="0"/>
    <x v="0"/>
    <x v="2"/>
    <x v="343"/>
    <x v="1"/>
    <x v="343"/>
  </r>
  <r>
    <x v="103"/>
    <x v="344"/>
    <x v="4"/>
    <x v="0"/>
    <x v="3"/>
    <x v="0"/>
    <x v="5"/>
    <x v="344"/>
    <x v="0"/>
    <x v="344"/>
  </r>
  <r>
    <x v="57"/>
    <x v="345"/>
    <x v="0"/>
    <x v="0"/>
    <x v="0"/>
    <x v="0"/>
    <x v="0"/>
    <x v="345"/>
    <x v="1"/>
    <x v="345"/>
  </r>
  <r>
    <x v="7"/>
    <x v="346"/>
    <x v="1"/>
    <x v="0"/>
    <x v="3"/>
    <x v="0"/>
    <x v="5"/>
    <x v="346"/>
    <x v="1"/>
    <x v="346"/>
  </r>
  <r>
    <x v="30"/>
    <x v="347"/>
    <x v="2"/>
    <x v="3"/>
    <x v="5"/>
    <x v="3"/>
    <x v="4"/>
    <x v="347"/>
    <x v="2"/>
    <x v="347"/>
  </r>
  <r>
    <x v="76"/>
    <x v="348"/>
    <x v="2"/>
    <x v="0"/>
    <x v="3"/>
    <x v="0"/>
    <x v="0"/>
    <x v="348"/>
    <x v="3"/>
    <x v="348"/>
  </r>
  <r>
    <x v="149"/>
    <x v="349"/>
    <x v="4"/>
    <x v="1"/>
    <x v="1"/>
    <x v="1"/>
    <x v="6"/>
    <x v="349"/>
    <x v="0"/>
    <x v="349"/>
  </r>
  <r>
    <x v="125"/>
    <x v="350"/>
    <x v="2"/>
    <x v="2"/>
    <x v="2"/>
    <x v="2"/>
    <x v="2"/>
    <x v="350"/>
    <x v="2"/>
    <x v="350"/>
  </r>
  <r>
    <x v="155"/>
    <x v="351"/>
    <x v="2"/>
    <x v="0"/>
    <x v="0"/>
    <x v="0"/>
    <x v="2"/>
    <x v="351"/>
    <x v="2"/>
    <x v="351"/>
  </r>
  <r>
    <x v="156"/>
    <x v="352"/>
    <x v="3"/>
    <x v="3"/>
    <x v="5"/>
    <x v="3"/>
    <x v="9"/>
    <x v="352"/>
    <x v="2"/>
    <x v="352"/>
  </r>
  <r>
    <x v="78"/>
    <x v="353"/>
    <x v="4"/>
    <x v="2"/>
    <x v="2"/>
    <x v="2"/>
    <x v="9"/>
    <x v="353"/>
    <x v="1"/>
    <x v="353"/>
  </r>
  <r>
    <x v="157"/>
    <x v="354"/>
    <x v="5"/>
    <x v="0"/>
    <x v="0"/>
    <x v="0"/>
    <x v="2"/>
    <x v="354"/>
    <x v="0"/>
    <x v="354"/>
  </r>
  <r>
    <x v="141"/>
    <x v="355"/>
    <x v="4"/>
    <x v="3"/>
    <x v="5"/>
    <x v="3"/>
    <x v="2"/>
    <x v="355"/>
    <x v="3"/>
    <x v="355"/>
  </r>
  <r>
    <x v="54"/>
    <x v="356"/>
    <x v="3"/>
    <x v="3"/>
    <x v="5"/>
    <x v="3"/>
    <x v="5"/>
    <x v="356"/>
    <x v="3"/>
    <x v="356"/>
  </r>
  <r>
    <x v="58"/>
    <x v="357"/>
    <x v="0"/>
    <x v="0"/>
    <x v="3"/>
    <x v="0"/>
    <x v="7"/>
    <x v="357"/>
    <x v="3"/>
    <x v="357"/>
  </r>
  <r>
    <x v="136"/>
    <x v="358"/>
    <x v="5"/>
    <x v="0"/>
    <x v="0"/>
    <x v="0"/>
    <x v="3"/>
    <x v="358"/>
    <x v="1"/>
    <x v="358"/>
  </r>
  <r>
    <x v="124"/>
    <x v="359"/>
    <x v="5"/>
    <x v="0"/>
    <x v="0"/>
    <x v="0"/>
    <x v="3"/>
    <x v="359"/>
    <x v="0"/>
    <x v="359"/>
  </r>
  <r>
    <x v="93"/>
    <x v="360"/>
    <x v="5"/>
    <x v="1"/>
    <x v="4"/>
    <x v="1"/>
    <x v="2"/>
    <x v="360"/>
    <x v="3"/>
    <x v="360"/>
  </r>
  <r>
    <x v="18"/>
    <x v="361"/>
    <x v="3"/>
    <x v="0"/>
    <x v="3"/>
    <x v="0"/>
    <x v="2"/>
    <x v="361"/>
    <x v="0"/>
    <x v="361"/>
  </r>
  <r>
    <x v="37"/>
    <x v="362"/>
    <x v="4"/>
    <x v="0"/>
    <x v="3"/>
    <x v="0"/>
    <x v="3"/>
    <x v="362"/>
    <x v="1"/>
    <x v="362"/>
  </r>
  <r>
    <x v="158"/>
    <x v="363"/>
    <x v="1"/>
    <x v="1"/>
    <x v="1"/>
    <x v="1"/>
    <x v="3"/>
    <x v="363"/>
    <x v="0"/>
    <x v="363"/>
  </r>
  <r>
    <x v="22"/>
    <x v="364"/>
    <x v="1"/>
    <x v="1"/>
    <x v="1"/>
    <x v="1"/>
    <x v="4"/>
    <x v="364"/>
    <x v="2"/>
    <x v="364"/>
  </r>
  <r>
    <x v="70"/>
    <x v="365"/>
    <x v="1"/>
    <x v="1"/>
    <x v="1"/>
    <x v="1"/>
    <x v="6"/>
    <x v="365"/>
    <x v="2"/>
    <x v="365"/>
  </r>
  <r>
    <x v="81"/>
    <x v="366"/>
    <x v="1"/>
    <x v="1"/>
    <x v="4"/>
    <x v="1"/>
    <x v="5"/>
    <x v="366"/>
    <x v="0"/>
    <x v="366"/>
  </r>
  <r>
    <x v="100"/>
    <x v="367"/>
    <x v="5"/>
    <x v="0"/>
    <x v="0"/>
    <x v="0"/>
    <x v="6"/>
    <x v="367"/>
    <x v="0"/>
    <x v="367"/>
  </r>
  <r>
    <x v="104"/>
    <x v="368"/>
    <x v="4"/>
    <x v="2"/>
    <x v="2"/>
    <x v="2"/>
    <x v="1"/>
    <x v="368"/>
    <x v="3"/>
    <x v="368"/>
  </r>
  <r>
    <x v="136"/>
    <x v="369"/>
    <x v="5"/>
    <x v="0"/>
    <x v="3"/>
    <x v="0"/>
    <x v="7"/>
    <x v="369"/>
    <x v="1"/>
    <x v="369"/>
  </r>
  <r>
    <x v="113"/>
    <x v="370"/>
    <x v="2"/>
    <x v="0"/>
    <x v="3"/>
    <x v="0"/>
    <x v="4"/>
    <x v="370"/>
    <x v="1"/>
    <x v="370"/>
  </r>
  <r>
    <x v="144"/>
    <x v="371"/>
    <x v="2"/>
    <x v="1"/>
    <x v="4"/>
    <x v="1"/>
    <x v="2"/>
    <x v="371"/>
    <x v="0"/>
    <x v="371"/>
  </r>
  <r>
    <x v="159"/>
    <x v="372"/>
    <x v="5"/>
    <x v="1"/>
    <x v="1"/>
    <x v="1"/>
    <x v="5"/>
    <x v="372"/>
    <x v="0"/>
    <x v="372"/>
  </r>
  <r>
    <x v="12"/>
    <x v="373"/>
    <x v="4"/>
    <x v="0"/>
    <x v="0"/>
    <x v="0"/>
    <x v="0"/>
    <x v="373"/>
    <x v="1"/>
    <x v="373"/>
  </r>
  <r>
    <x v="151"/>
    <x v="374"/>
    <x v="5"/>
    <x v="1"/>
    <x v="1"/>
    <x v="1"/>
    <x v="9"/>
    <x v="374"/>
    <x v="0"/>
    <x v="374"/>
  </r>
  <r>
    <x v="145"/>
    <x v="375"/>
    <x v="2"/>
    <x v="0"/>
    <x v="3"/>
    <x v="0"/>
    <x v="6"/>
    <x v="375"/>
    <x v="2"/>
    <x v="375"/>
  </r>
  <r>
    <x v="159"/>
    <x v="376"/>
    <x v="1"/>
    <x v="1"/>
    <x v="4"/>
    <x v="1"/>
    <x v="8"/>
    <x v="376"/>
    <x v="1"/>
    <x v="376"/>
  </r>
  <r>
    <x v="45"/>
    <x v="377"/>
    <x v="5"/>
    <x v="0"/>
    <x v="0"/>
    <x v="0"/>
    <x v="4"/>
    <x v="377"/>
    <x v="2"/>
    <x v="377"/>
  </r>
  <r>
    <x v="137"/>
    <x v="378"/>
    <x v="1"/>
    <x v="0"/>
    <x v="0"/>
    <x v="0"/>
    <x v="5"/>
    <x v="378"/>
    <x v="3"/>
    <x v="378"/>
  </r>
  <r>
    <x v="79"/>
    <x v="379"/>
    <x v="4"/>
    <x v="1"/>
    <x v="4"/>
    <x v="1"/>
    <x v="5"/>
    <x v="379"/>
    <x v="2"/>
    <x v="379"/>
  </r>
  <r>
    <x v="120"/>
    <x v="380"/>
    <x v="1"/>
    <x v="1"/>
    <x v="4"/>
    <x v="1"/>
    <x v="5"/>
    <x v="380"/>
    <x v="2"/>
    <x v="380"/>
  </r>
  <r>
    <x v="139"/>
    <x v="381"/>
    <x v="2"/>
    <x v="2"/>
    <x v="2"/>
    <x v="2"/>
    <x v="6"/>
    <x v="381"/>
    <x v="2"/>
    <x v="381"/>
  </r>
  <r>
    <x v="122"/>
    <x v="382"/>
    <x v="0"/>
    <x v="0"/>
    <x v="3"/>
    <x v="0"/>
    <x v="7"/>
    <x v="382"/>
    <x v="0"/>
    <x v="382"/>
  </r>
  <r>
    <x v="53"/>
    <x v="383"/>
    <x v="1"/>
    <x v="0"/>
    <x v="3"/>
    <x v="0"/>
    <x v="6"/>
    <x v="383"/>
    <x v="0"/>
    <x v="383"/>
  </r>
  <r>
    <x v="76"/>
    <x v="384"/>
    <x v="5"/>
    <x v="2"/>
    <x v="2"/>
    <x v="2"/>
    <x v="1"/>
    <x v="384"/>
    <x v="3"/>
    <x v="384"/>
  </r>
  <r>
    <x v="30"/>
    <x v="385"/>
    <x v="5"/>
    <x v="0"/>
    <x v="0"/>
    <x v="0"/>
    <x v="6"/>
    <x v="385"/>
    <x v="2"/>
    <x v="385"/>
  </r>
  <r>
    <x v="116"/>
    <x v="386"/>
    <x v="1"/>
    <x v="2"/>
    <x v="2"/>
    <x v="2"/>
    <x v="7"/>
    <x v="386"/>
    <x v="1"/>
    <x v="386"/>
  </r>
  <r>
    <x v="62"/>
    <x v="387"/>
    <x v="0"/>
    <x v="2"/>
    <x v="2"/>
    <x v="2"/>
    <x v="9"/>
    <x v="387"/>
    <x v="3"/>
    <x v="387"/>
  </r>
  <r>
    <x v="0"/>
    <x v="388"/>
    <x v="3"/>
    <x v="1"/>
    <x v="1"/>
    <x v="1"/>
    <x v="5"/>
    <x v="388"/>
    <x v="0"/>
    <x v="388"/>
  </r>
  <r>
    <x v="159"/>
    <x v="389"/>
    <x v="5"/>
    <x v="0"/>
    <x v="3"/>
    <x v="0"/>
    <x v="2"/>
    <x v="389"/>
    <x v="0"/>
    <x v="389"/>
  </r>
  <r>
    <x v="137"/>
    <x v="390"/>
    <x v="3"/>
    <x v="3"/>
    <x v="5"/>
    <x v="3"/>
    <x v="5"/>
    <x v="390"/>
    <x v="0"/>
    <x v="390"/>
  </r>
  <r>
    <x v="35"/>
    <x v="391"/>
    <x v="2"/>
    <x v="0"/>
    <x v="0"/>
    <x v="0"/>
    <x v="0"/>
    <x v="391"/>
    <x v="1"/>
    <x v="391"/>
  </r>
  <r>
    <x v="98"/>
    <x v="392"/>
    <x v="4"/>
    <x v="1"/>
    <x v="1"/>
    <x v="1"/>
    <x v="5"/>
    <x v="392"/>
    <x v="0"/>
    <x v="392"/>
  </r>
  <r>
    <x v="78"/>
    <x v="393"/>
    <x v="0"/>
    <x v="0"/>
    <x v="0"/>
    <x v="0"/>
    <x v="7"/>
    <x v="393"/>
    <x v="3"/>
    <x v="393"/>
  </r>
  <r>
    <x v="103"/>
    <x v="394"/>
    <x v="1"/>
    <x v="3"/>
    <x v="5"/>
    <x v="3"/>
    <x v="3"/>
    <x v="394"/>
    <x v="2"/>
    <x v="394"/>
  </r>
  <r>
    <x v="60"/>
    <x v="395"/>
    <x v="5"/>
    <x v="0"/>
    <x v="0"/>
    <x v="0"/>
    <x v="3"/>
    <x v="395"/>
    <x v="0"/>
    <x v="395"/>
  </r>
  <r>
    <x v="13"/>
    <x v="396"/>
    <x v="5"/>
    <x v="0"/>
    <x v="0"/>
    <x v="0"/>
    <x v="3"/>
    <x v="396"/>
    <x v="3"/>
    <x v="396"/>
  </r>
  <r>
    <x v="95"/>
    <x v="397"/>
    <x v="5"/>
    <x v="0"/>
    <x v="3"/>
    <x v="0"/>
    <x v="6"/>
    <x v="397"/>
    <x v="2"/>
    <x v="397"/>
  </r>
  <r>
    <x v="41"/>
    <x v="398"/>
    <x v="5"/>
    <x v="0"/>
    <x v="0"/>
    <x v="0"/>
    <x v="0"/>
    <x v="398"/>
    <x v="1"/>
    <x v="398"/>
  </r>
  <r>
    <x v="124"/>
    <x v="399"/>
    <x v="4"/>
    <x v="1"/>
    <x v="4"/>
    <x v="1"/>
    <x v="5"/>
    <x v="399"/>
    <x v="3"/>
    <x v="399"/>
  </r>
  <r>
    <x v="95"/>
    <x v="400"/>
    <x v="4"/>
    <x v="3"/>
    <x v="5"/>
    <x v="3"/>
    <x v="7"/>
    <x v="400"/>
    <x v="3"/>
    <x v="400"/>
  </r>
  <r>
    <x v="32"/>
    <x v="401"/>
    <x v="3"/>
    <x v="2"/>
    <x v="2"/>
    <x v="2"/>
    <x v="4"/>
    <x v="401"/>
    <x v="1"/>
    <x v="401"/>
  </r>
  <r>
    <x v="84"/>
    <x v="402"/>
    <x v="3"/>
    <x v="3"/>
    <x v="5"/>
    <x v="3"/>
    <x v="3"/>
    <x v="402"/>
    <x v="3"/>
    <x v="402"/>
  </r>
  <r>
    <x v="9"/>
    <x v="403"/>
    <x v="2"/>
    <x v="1"/>
    <x v="4"/>
    <x v="1"/>
    <x v="8"/>
    <x v="403"/>
    <x v="3"/>
    <x v="403"/>
  </r>
  <r>
    <x v="103"/>
    <x v="404"/>
    <x v="4"/>
    <x v="3"/>
    <x v="5"/>
    <x v="3"/>
    <x v="7"/>
    <x v="404"/>
    <x v="1"/>
    <x v="404"/>
  </r>
  <r>
    <x v="160"/>
    <x v="405"/>
    <x v="5"/>
    <x v="1"/>
    <x v="4"/>
    <x v="1"/>
    <x v="4"/>
    <x v="405"/>
    <x v="2"/>
    <x v="405"/>
  </r>
  <r>
    <x v="65"/>
    <x v="406"/>
    <x v="0"/>
    <x v="1"/>
    <x v="1"/>
    <x v="1"/>
    <x v="4"/>
    <x v="406"/>
    <x v="0"/>
    <x v="406"/>
  </r>
  <r>
    <x v="11"/>
    <x v="407"/>
    <x v="4"/>
    <x v="3"/>
    <x v="5"/>
    <x v="3"/>
    <x v="1"/>
    <x v="407"/>
    <x v="2"/>
    <x v="407"/>
  </r>
  <r>
    <x v="92"/>
    <x v="408"/>
    <x v="5"/>
    <x v="1"/>
    <x v="1"/>
    <x v="1"/>
    <x v="5"/>
    <x v="408"/>
    <x v="0"/>
    <x v="408"/>
  </r>
  <r>
    <x v="90"/>
    <x v="409"/>
    <x v="0"/>
    <x v="0"/>
    <x v="0"/>
    <x v="0"/>
    <x v="5"/>
    <x v="409"/>
    <x v="1"/>
    <x v="409"/>
  </r>
  <r>
    <x v="132"/>
    <x v="410"/>
    <x v="1"/>
    <x v="0"/>
    <x v="0"/>
    <x v="0"/>
    <x v="1"/>
    <x v="410"/>
    <x v="1"/>
    <x v="410"/>
  </r>
  <r>
    <x v="13"/>
    <x v="411"/>
    <x v="0"/>
    <x v="1"/>
    <x v="1"/>
    <x v="1"/>
    <x v="7"/>
    <x v="411"/>
    <x v="0"/>
    <x v="411"/>
  </r>
  <r>
    <x v="65"/>
    <x v="412"/>
    <x v="3"/>
    <x v="2"/>
    <x v="2"/>
    <x v="2"/>
    <x v="4"/>
    <x v="412"/>
    <x v="0"/>
    <x v="412"/>
  </r>
  <r>
    <x v="161"/>
    <x v="413"/>
    <x v="4"/>
    <x v="1"/>
    <x v="4"/>
    <x v="1"/>
    <x v="3"/>
    <x v="413"/>
    <x v="3"/>
    <x v="413"/>
  </r>
  <r>
    <x v="31"/>
    <x v="414"/>
    <x v="3"/>
    <x v="3"/>
    <x v="5"/>
    <x v="3"/>
    <x v="0"/>
    <x v="414"/>
    <x v="3"/>
    <x v="414"/>
  </r>
  <r>
    <x v="99"/>
    <x v="415"/>
    <x v="3"/>
    <x v="1"/>
    <x v="1"/>
    <x v="1"/>
    <x v="1"/>
    <x v="415"/>
    <x v="0"/>
    <x v="415"/>
  </r>
  <r>
    <x v="58"/>
    <x v="416"/>
    <x v="2"/>
    <x v="3"/>
    <x v="5"/>
    <x v="3"/>
    <x v="5"/>
    <x v="416"/>
    <x v="3"/>
    <x v="416"/>
  </r>
  <r>
    <x v="84"/>
    <x v="417"/>
    <x v="5"/>
    <x v="0"/>
    <x v="3"/>
    <x v="0"/>
    <x v="1"/>
    <x v="417"/>
    <x v="0"/>
    <x v="417"/>
  </r>
  <r>
    <x v="18"/>
    <x v="418"/>
    <x v="5"/>
    <x v="3"/>
    <x v="5"/>
    <x v="3"/>
    <x v="7"/>
    <x v="418"/>
    <x v="0"/>
    <x v="418"/>
  </r>
  <r>
    <x v="100"/>
    <x v="419"/>
    <x v="4"/>
    <x v="1"/>
    <x v="4"/>
    <x v="1"/>
    <x v="0"/>
    <x v="419"/>
    <x v="2"/>
    <x v="419"/>
  </r>
  <r>
    <x v="162"/>
    <x v="420"/>
    <x v="5"/>
    <x v="1"/>
    <x v="4"/>
    <x v="1"/>
    <x v="0"/>
    <x v="420"/>
    <x v="0"/>
    <x v="420"/>
  </r>
  <r>
    <x v="26"/>
    <x v="421"/>
    <x v="5"/>
    <x v="0"/>
    <x v="3"/>
    <x v="0"/>
    <x v="1"/>
    <x v="421"/>
    <x v="3"/>
    <x v="421"/>
  </r>
  <r>
    <x v="61"/>
    <x v="422"/>
    <x v="2"/>
    <x v="0"/>
    <x v="3"/>
    <x v="0"/>
    <x v="8"/>
    <x v="422"/>
    <x v="1"/>
    <x v="422"/>
  </r>
  <r>
    <x v="92"/>
    <x v="423"/>
    <x v="3"/>
    <x v="0"/>
    <x v="0"/>
    <x v="0"/>
    <x v="5"/>
    <x v="423"/>
    <x v="1"/>
    <x v="423"/>
  </r>
  <r>
    <x v="68"/>
    <x v="424"/>
    <x v="3"/>
    <x v="0"/>
    <x v="3"/>
    <x v="0"/>
    <x v="8"/>
    <x v="424"/>
    <x v="0"/>
    <x v="424"/>
  </r>
  <r>
    <x v="156"/>
    <x v="425"/>
    <x v="1"/>
    <x v="2"/>
    <x v="2"/>
    <x v="2"/>
    <x v="2"/>
    <x v="425"/>
    <x v="1"/>
    <x v="425"/>
  </r>
  <r>
    <x v="144"/>
    <x v="426"/>
    <x v="4"/>
    <x v="3"/>
    <x v="5"/>
    <x v="3"/>
    <x v="5"/>
    <x v="426"/>
    <x v="0"/>
    <x v="426"/>
  </r>
  <r>
    <x v="36"/>
    <x v="427"/>
    <x v="2"/>
    <x v="0"/>
    <x v="0"/>
    <x v="0"/>
    <x v="7"/>
    <x v="427"/>
    <x v="2"/>
    <x v="427"/>
  </r>
  <r>
    <x v="76"/>
    <x v="428"/>
    <x v="4"/>
    <x v="1"/>
    <x v="4"/>
    <x v="1"/>
    <x v="7"/>
    <x v="428"/>
    <x v="0"/>
    <x v="428"/>
  </r>
  <r>
    <x v="127"/>
    <x v="429"/>
    <x v="5"/>
    <x v="1"/>
    <x v="1"/>
    <x v="1"/>
    <x v="0"/>
    <x v="429"/>
    <x v="2"/>
    <x v="429"/>
  </r>
  <r>
    <x v="163"/>
    <x v="430"/>
    <x v="0"/>
    <x v="0"/>
    <x v="0"/>
    <x v="0"/>
    <x v="4"/>
    <x v="430"/>
    <x v="1"/>
    <x v="430"/>
  </r>
  <r>
    <x v="164"/>
    <x v="431"/>
    <x v="4"/>
    <x v="3"/>
    <x v="5"/>
    <x v="3"/>
    <x v="1"/>
    <x v="431"/>
    <x v="1"/>
    <x v="431"/>
  </r>
  <r>
    <x v="128"/>
    <x v="432"/>
    <x v="4"/>
    <x v="1"/>
    <x v="1"/>
    <x v="1"/>
    <x v="7"/>
    <x v="432"/>
    <x v="0"/>
    <x v="432"/>
  </r>
  <r>
    <x v="165"/>
    <x v="433"/>
    <x v="4"/>
    <x v="0"/>
    <x v="0"/>
    <x v="0"/>
    <x v="2"/>
    <x v="433"/>
    <x v="3"/>
    <x v="433"/>
  </r>
  <r>
    <x v="160"/>
    <x v="434"/>
    <x v="1"/>
    <x v="2"/>
    <x v="2"/>
    <x v="2"/>
    <x v="1"/>
    <x v="434"/>
    <x v="1"/>
    <x v="434"/>
  </r>
  <r>
    <x v="41"/>
    <x v="435"/>
    <x v="3"/>
    <x v="1"/>
    <x v="4"/>
    <x v="1"/>
    <x v="1"/>
    <x v="435"/>
    <x v="3"/>
    <x v="435"/>
  </r>
  <r>
    <x v="133"/>
    <x v="436"/>
    <x v="4"/>
    <x v="2"/>
    <x v="2"/>
    <x v="2"/>
    <x v="3"/>
    <x v="436"/>
    <x v="0"/>
    <x v="436"/>
  </r>
  <r>
    <x v="166"/>
    <x v="437"/>
    <x v="5"/>
    <x v="2"/>
    <x v="2"/>
    <x v="2"/>
    <x v="8"/>
    <x v="437"/>
    <x v="1"/>
    <x v="437"/>
  </r>
  <r>
    <x v="67"/>
    <x v="438"/>
    <x v="0"/>
    <x v="0"/>
    <x v="3"/>
    <x v="0"/>
    <x v="1"/>
    <x v="438"/>
    <x v="3"/>
    <x v="438"/>
  </r>
  <r>
    <x v="117"/>
    <x v="439"/>
    <x v="2"/>
    <x v="2"/>
    <x v="2"/>
    <x v="2"/>
    <x v="6"/>
    <x v="439"/>
    <x v="3"/>
    <x v="439"/>
  </r>
  <r>
    <x v="57"/>
    <x v="440"/>
    <x v="3"/>
    <x v="1"/>
    <x v="4"/>
    <x v="1"/>
    <x v="7"/>
    <x v="440"/>
    <x v="2"/>
    <x v="440"/>
  </r>
  <r>
    <x v="120"/>
    <x v="441"/>
    <x v="3"/>
    <x v="0"/>
    <x v="0"/>
    <x v="0"/>
    <x v="6"/>
    <x v="441"/>
    <x v="0"/>
    <x v="441"/>
  </r>
  <r>
    <x v="114"/>
    <x v="442"/>
    <x v="1"/>
    <x v="3"/>
    <x v="5"/>
    <x v="3"/>
    <x v="3"/>
    <x v="442"/>
    <x v="0"/>
    <x v="442"/>
  </r>
  <r>
    <x v="167"/>
    <x v="443"/>
    <x v="5"/>
    <x v="1"/>
    <x v="4"/>
    <x v="1"/>
    <x v="1"/>
    <x v="443"/>
    <x v="3"/>
    <x v="443"/>
  </r>
  <r>
    <x v="86"/>
    <x v="444"/>
    <x v="2"/>
    <x v="2"/>
    <x v="2"/>
    <x v="2"/>
    <x v="7"/>
    <x v="444"/>
    <x v="2"/>
    <x v="444"/>
  </r>
  <r>
    <x v="78"/>
    <x v="445"/>
    <x v="3"/>
    <x v="0"/>
    <x v="3"/>
    <x v="0"/>
    <x v="6"/>
    <x v="445"/>
    <x v="2"/>
    <x v="445"/>
  </r>
  <r>
    <x v="106"/>
    <x v="446"/>
    <x v="3"/>
    <x v="3"/>
    <x v="5"/>
    <x v="3"/>
    <x v="7"/>
    <x v="446"/>
    <x v="1"/>
    <x v="446"/>
  </r>
  <r>
    <x v="133"/>
    <x v="447"/>
    <x v="0"/>
    <x v="0"/>
    <x v="3"/>
    <x v="0"/>
    <x v="6"/>
    <x v="447"/>
    <x v="3"/>
    <x v="447"/>
  </r>
  <r>
    <x v="56"/>
    <x v="448"/>
    <x v="2"/>
    <x v="0"/>
    <x v="0"/>
    <x v="0"/>
    <x v="4"/>
    <x v="448"/>
    <x v="0"/>
    <x v="448"/>
  </r>
  <r>
    <x v="166"/>
    <x v="449"/>
    <x v="3"/>
    <x v="1"/>
    <x v="1"/>
    <x v="1"/>
    <x v="0"/>
    <x v="449"/>
    <x v="0"/>
    <x v="449"/>
  </r>
  <r>
    <x v="78"/>
    <x v="450"/>
    <x v="4"/>
    <x v="1"/>
    <x v="4"/>
    <x v="1"/>
    <x v="7"/>
    <x v="450"/>
    <x v="0"/>
    <x v="450"/>
  </r>
  <r>
    <x v="25"/>
    <x v="451"/>
    <x v="1"/>
    <x v="0"/>
    <x v="3"/>
    <x v="0"/>
    <x v="5"/>
    <x v="451"/>
    <x v="0"/>
    <x v="451"/>
  </r>
  <r>
    <x v="108"/>
    <x v="452"/>
    <x v="5"/>
    <x v="0"/>
    <x v="3"/>
    <x v="0"/>
    <x v="7"/>
    <x v="452"/>
    <x v="3"/>
    <x v="452"/>
  </r>
  <r>
    <x v="101"/>
    <x v="453"/>
    <x v="4"/>
    <x v="2"/>
    <x v="2"/>
    <x v="2"/>
    <x v="5"/>
    <x v="453"/>
    <x v="2"/>
    <x v="453"/>
  </r>
  <r>
    <x v="168"/>
    <x v="454"/>
    <x v="3"/>
    <x v="1"/>
    <x v="1"/>
    <x v="1"/>
    <x v="9"/>
    <x v="454"/>
    <x v="0"/>
    <x v="454"/>
  </r>
  <r>
    <x v="119"/>
    <x v="455"/>
    <x v="5"/>
    <x v="3"/>
    <x v="5"/>
    <x v="3"/>
    <x v="5"/>
    <x v="455"/>
    <x v="3"/>
    <x v="455"/>
  </r>
  <r>
    <x v="117"/>
    <x v="456"/>
    <x v="4"/>
    <x v="3"/>
    <x v="5"/>
    <x v="3"/>
    <x v="1"/>
    <x v="456"/>
    <x v="1"/>
    <x v="456"/>
  </r>
  <r>
    <x v="42"/>
    <x v="457"/>
    <x v="3"/>
    <x v="3"/>
    <x v="5"/>
    <x v="3"/>
    <x v="1"/>
    <x v="457"/>
    <x v="2"/>
    <x v="457"/>
  </r>
  <r>
    <x v="120"/>
    <x v="458"/>
    <x v="1"/>
    <x v="0"/>
    <x v="0"/>
    <x v="0"/>
    <x v="8"/>
    <x v="458"/>
    <x v="1"/>
    <x v="458"/>
  </r>
  <r>
    <x v="155"/>
    <x v="459"/>
    <x v="5"/>
    <x v="0"/>
    <x v="3"/>
    <x v="0"/>
    <x v="7"/>
    <x v="459"/>
    <x v="1"/>
    <x v="459"/>
  </r>
  <r>
    <x v="40"/>
    <x v="460"/>
    <x v="2"/>
    <x v="2"/>
    <x v="2"/>
    <x v="2"/>
    <x v="5"/>
    <x v="460"/>
    <x v="0"/>
    <x v="460"/>
  </r>
  <r>
    <x v="68"/>
    <x v="461"/>
    <x v="2"/>
    <x v="1"/>
    <x v="1"/>
    <x v="1"/>
    <x v="4"/>
    <x v="461"/>
    <x v="2"/>
    <x v="461"/>
  </r>
  <r>
    <x v="129"/>
    <x v="462"/>
    <x v="2"/>
    <x v="1"/>
    <x v="1"/>
    <x v="1"/>
    <x v="6"/>
    <x v="462"/>
    <x v="3"/>
    <x v="462"/>
  </r>
  <r>
    <x v="137"/>
    <x v="463"/>
    <x v="5"/>
    <x v="0"/>
    <x v="0"/>
    <x v="0"/>
    <x v="9"/>
    <x v="463"/>
    <x v="1"/>
    <x v="463"/>
  </r>
  <r>
    <x v="169"/>
    <x v="464"/>
    <x v="0"/>
    <x v="0"/>
    <x v="3"/>
    <x v="0"/>
    <x v="8"/>
    <x v="464"/>
    <x v="1"/>
    <x v="464"/>
  </r>
  <r>
    <x v="12"/>
    <x v="465"/>
    <x v="5"/>
    <x v="1"/>
    <x v="1"/>
    <x v="1"/>
    <x v="9"/>
    <x v="465"/>
    <x v="2"/>
    <x v="465"/>
  </r>
  <r>
    <x v="149"/>
    <x v="466"/>
    <x v="1"/>
    <x v="1"/>
    <x v="4"/>
    <x v="1"/>
    <x v="6"/>
    <x v="466"/>
    <x v="0"/>
    <x v="466"/>
  </r>
  <r>
    <x v="87"/>
    <x v="467"/>
    <x v="4"/>
    <x v="1"/>
    <x v="1"/>
    <x v="1"/>
    <x v="1"/>
    <x v="467"/>
    <x v="3"/>
    <x v="467"/>
  </r>
  <r>
    <x v="148"/>
    <x v="468"/>
    <x v="3"/>
    <x v="0"/>
    <x v="3"/>
    <x v="0"/>
    <x v="5"/>
    <x v="468"/>
    <x v="0"/>
    <x v="468"/>
  </r>
  <r>
    <x v="78"/>
    <x v="469"/>
    <x v="2"/>
    <x v="1"/>
    <x v="4"/>
    <x v="1"/>
    <x v="7"/>
    <x v="469"/>
    <x v="2"/>
    <x v="469"/>
  </r>
  <r>
    <x v="170"/>
    <x v="470"/>
    <x v="2"/>
    <x v="3"/>
    <x v="5"/>
    <x v="3"/>
    <x v="4"/>
    <x v="470"/>
    <x v="0"/>
    <x v="470"/>
  </r>
  <r>
    <x v="84"/>
    <x v="471"/>
    <x v="5"/>
    <x v="0"/>
    <x v="3"/>
    <x v="0"/>
    <x v="7"/>
    <x v="471"/>
    <x v="1"/>
    <x v="471"/>
  </r>
  <r>
    <x v="123"/>
    <x v="472"/>
    <x v="5"/>
    <x v="0"/>
    <x v="3"/>
    <x v="0"/>
    <x v="0"/>
    <x v="472"/>
    <x v="3"/>
    <x v="472"/>
  </r>
  <r>
    <x v="169"/>
    <x v="473"/>
    <x v="5"/>
    <x v="0"/>
    <x v="3"/>
    <x v="0"/>
    <x v="9"/>
    <x v="473"/>
    <x v="0"/>
    <x v="473"/>
  </r>
  <r>
    <x v="10"/>
    <x v="474"/>
    <x v="1"/>
    <x v="1"/>
    <x v="1"/>
    <x v="1"/>
    <x v="6"/>
    <x v="474"/>
    <x v="2"/>
    <x v="474"/>
  </r>
  <r>
    <x v="137"/>
    <x v="475"/>
    <x v="0"/>
    <x v="1"/>
    <x v="4"/>
    <x v="1"/>
    <x v="5"/>
    <x v="475"/>
    <x v="1"/>
    <x v="475"/>
  </r>
  <r>
    <x v="105"/>
    <x v="476"/>
    <x v="5"/>
    <x v="1"/>
    <x v="1"/>
    <x v="1"/>
    <x v="8"/>
    <x v="476"/>
    <x v="3"/>
    <x v="476"/>
  </r>
  <r>
    <x v="68"/>
    <x v="477"/>
    <x v="5"/>
    <x v="2"/>
    <x v="2"/>
    <x v="2"/>
    <x v="5"/>
    <x v="477"/>
    <x v="2"/>
    <x v="477"/>
  </r>
  <r>
    <x v="81"/>
    <x v="478"/>
    <x v="4"/>
    <x v="0"/>
    <x v="3"/>
    <x v="0"/>
    <x v="4"/>
    <x v="478"/>
    <x v="0"/>
    <x v="478"/>
  </r>
  <r>
    <x v="93"/>
    <x v="479"/>
    <x v="2"/>
    <x v="2"/>
    <x v="2"/>
    <x v="2"/>
    <x v="4"/>
    <x v="479"/>
    <x v="1"/>
    <x v="479"/>
  </r>
  <r>
    <x v="153"/>
    <x v="480"/>
    <x v="5"/>
    <x v="2"/>
    <x v="2"/>
    <x v="2"/>
    <x v="9"/>
    <x v="480"/>
    <x v="2"/>
    <x v="480"/>
  </r>
  <r>
    <x v="171"/>
    <x v="481"/>
    <x v="3"/>
    <x v="1"/>
    <x v="1"/>
    <x v="1"/>
    <x v="3"/>
    <x v="481"/>
    <x v="1"/>
    <x v="481"/>
  </r>
  <r>
    <x v="141"/>
    <x v="482"/>
    <x v="3"/>
    <x v="0"/>
    <x v="3"/>
    <x v="0"/>
    <x v="9"/>
    <x v="482"/>
    <x v="3"/>
    <x v="482"/>
  </r>
  <r>
    <x v="127"/>
    <x v="483"/>
    <x v="4"/>
    <x v="1"/>
    <x v="1"/>
    <x v="1"/>
    <x v="8"/>
    <x v="483"/>
    <x v="0"/>
    <x v="483"/>
  </r>
  <r>
    <x v="85"/>
    <x v="484"/>
    <x v="2"/>
    <x v="0"/>
    <x v="0"/>
    <x v="0"/>
    <x v="8"/>
    <x v="484"/>
    <x v="0"/>
    <x v="484"/>
  </r>
  <r>
    <x v="141"/>
    <x v="485"/>
    <x v="1"/>
    <x v="2"/>
    <x v="2"/>
    <x v="2"/>
    <x v="6"/>
    <x v="485"/>
    <x v="3"/>
    <x v="485"/>
  </r>
  <r>
    <x v="98"/>
    <x v="486"/>
    <x v="2"/>
    <x v="3"/>
    <x v="5"/>
    <x v="3"/>
    <x v="9"/>
    <x v="486"/>
    <x v="2"/>
    <x v="486"/>
  </r>
  <r>
    <x v="160"/>
    <x v="487"/>
    <x v="3"/>
    <x v="1"/>
    <x v="1"/>
    <x v="1"/>
    <x v="5"/>
    <x v="487"/>
    <x v="3"/>
    <x v="487"/>
  </r>
  <r>
    <x v="102"/>
    <x v="488"/>
    <x v="3"/>
    <x v="1"/>
    <x v="1"/>
    <x v="1"/>
    <x v="5"/>
    <x v="488"/>
    <x v="3"/>
    <x v="488"/>
  </r>
  <r>
    <x v="51"/>
    <x v="489"/>
    <x v="0"/>
    <x v="1"/>
    <x v="1"/>
    <x v="1"/>
    <x v="3"/>
    <x v="489"/>
    <x v="2"/>
    <x v="489"/>
  </r>
  <r>
    <x v="56"/>
    <x v="490"/>
    <x v="3"/>
    <x v="3"/>
    <x v="5"/>
    <x v="3"/>
    <x v="9"/>
    <x v="490"/>
    <x v="2"/>
    <x v="490"/>
  </r>
  <r>
    <x v="140"/>
    <x v="491"/>
    <x v="0"/>
    <x v="0"/>
    <x v="3"/>
    <x v="0"/>
    <x v="9"/>
    <x v="491"/>
    <x v="2"/>
    <x v="491"/>
  </r>
  <r>
    <x v="39"/>
    <x v="492"/>
    <x v="1"/>
    <x v="2"/>
    <x v="2"/>
    <x v="2"/>
    <x v="5"/>
    <x v="492"/>
    <x v="2"/>
    <x v="492"/>
  </r>
  <r>
    <x v="60"/>
    <x v="493"/>
    <x v="0"/>
    <x v="0"/>
    <x v="3"/>
    <x v="0"/>
    <x v="7"/>
    <x v="493"/>
    <x v="3"/>
    <x v="493"/>
  </r>
  <r>
    <x v="172"/>
    <x v="494"/>
    <x v="0"/>
    <x v="1"/>
    <x v="1"/>
    <x v="1"/>
    <x v="0"/>
    <x v="494"/>
    <x v="2"/>
    <x v="494"/>
  </r>
  <r>
    <x v="159"/>
    <x v="495"/>
    <x v="1"/>
    <x v="2"/>
    <x v="2"/>
    <x v="2"/>
    <x v="6"/>
    <x v="495"/>
    <x v="1"/>
    <x v="495"/>
  </r>
  <r>
    <x v="60"/>
    <x v="496"/>
    <x v="4"/>
    <x v="1"/>
    <x v="4"/>
    <x v="1"/>
    <x v="7"/>
    <x v="496"/>
    <x v="3"/>
    <x v="496"/>
  </r>
  <r>
    <x v="76"/>
    <x v="497"/>
    <x v="4"/>
    <x v="3"/>
    <x v="5"/>
    <x v="3"/>
    <x v="2"/>
    <x v="497"/>
    <x v="1"/>
    <x v="497"/>
  </r>
  <r>
    <x v="84"/>
    <x v="498"/>
    <x v="5"/>
    <x v="3"/>
    <x v="5"/>
    <x v="3"/>
    <x v="9"/>
    <x v="498"/>
    <x v="0"/>
    <x v="498"/>
  </r>
  <r>
    <x v="123"/>
    <x v="499"/>
    <x v="0"/>
    <x v="0"/>
    <x v="3"/>
    <x v="0"/>
    <x v="6"/>
    <x v="499"/>
    <x v="0"/>
    <x v="4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6FA067B-8756-402F-BEB9-18EEC7C20A48}" name="PivotTable4"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15:F22" firstHeaderRow="1" firstDataRow="1" firstDataCol="1"/>
  <pivotFields count="11">
    <pivotField showAll="0">
      <items count="174">
        <item x="104"/>
        <item x="107"/>
        <item x="132"/>
        <item x="32"/>
        <item x="124"/>
        <item x="46"/>
        <item x="150"/>
        <item x="138"/>
        <item x="52"/>
        <item x="60"/>
        <item x="57"/>
        <item x="109"/>
        <item x="117"/>
        <item x="68"/>
        <item x="39"/>
        <item x="147"/>
        <item x="12"/>
        <item x="137"/>
        <item x="56"/>
        <item x="119"/>
        <item x="26"/>
        <item x="35"/>
        <item x="169"/>
        <item x="92"/>
        <item x="11"/>
        <item x="148"/>
        <item x="123"/>
        <item x="159"/>
        <item x="23"/>
        <item x="16"/>
        <item x="171"/>
        <item x="141"/>
        <item x="54"/>
        <item x="38"/>
        <item x="111"/>
        <item x="164"/>
        <item x="162"/>
        <item x="167"/>
        <item x="94"/>
        <item x="49"/>
        <item x="36"/>
        <item x="84"/>
        <item x="172"/>
        <item x="83"/>
        <item x="28"/>
        <item x="165"/>
        <item x="156"/>
        <item x="41"/>
        <item x="19"/>
        <item x="100"/>
        <item x="79"/>
        <item x="7"/>
        <item x="88"/>
        <item x="98"/>
        <item x="157"/>
        <item x="126"/>
        <item x="44"/>
        <item x="33"/>
        <item x="155"/>
        <item x="69"/>
        <item x="112"/>
        <item x="82"/>
        <item x="131"/>
        <item x="31"/>
        <item x="3"/>
        <item x="140"/>
        <item x="86"/>
        <item x="74"/>
        <item x="24"/>
        <item x="115"/>
        <item x="149"/>
        <item x="110"/>
        <item x="45"/>
        <item x="91"/>
        <item x="8"/>
        <item x="48"/>
        <item x="93"/>
        <item x="142"/>
        <item x="20"/>
        <item x="106"/>
        <item x="136"/>
        <item x="99"/>
        <item x="163"/>
        <item x="134"/>
        <item x="102"/>
        <item x="72"/>
        <item x="18"/>
        <item x="101"/>
        <item x="127"/>
        <item x="1"/>
        <item x="61"/>
        <item x="120"/>
        <item x="143"/>
        <item x="81"/>
        <item x="128"/>
        <item x="64"/>
        <item x="89"/>
        <item x="133"/>
        <item x="80"/>
        <item x="85"/>
        <item x="158"/>
        <item x="97"/>
        <item x="17"/>
        <item x="15"/>
        <item x="87"/>
        <item x="27"/>
        <item x="75"/>
        <item x="116"/>
        <item x="62"/>
        <item x="29"/>
        <item x="21"/>
        <item x="76"/>
        <item x="71"/>
        <item x="65"/>
        <item x="105"/>
        <item x="170"/>
        <item x="34"/>
        <item x="166"/>
        <item x="4"/>
        <item x="96"/>
        <item x="151"/>
        <item x="47"/>
        <item x="129"/>
        <item x="95"/>
        <item x="146"/>
        <item x="51"/>
        <item x="73"/>
        <item x="59"/>
        <item x="160"/>
        <item x="154"/>
        <item x="63"/>
        <item x="2"/>
        <item x="10"/>
        <item x="67"/>
        <item x="70"/>
        <item x="144"/>
        <item x="5"/>
        <item x="37"/>
        <item x="125"/>
        <item x="108"/>
        <item x="30"/>
        <item x="42"/>
        <item x="13"/>
        <item x="9"/>
        <item x="53"/>
        <item x="77"/>
        <item x="22"/>
        <item x="103"/>
        <item x="122"/>
        <item x="161"/>
        <item x="90"/>
        <item x="66"/>
        <item x="121"/>
        <item x="58"/>
        <item x="55"/>
        <item x="50"/>
        <item x="139"/>
        <item x="118"/>
        <item x="25"/>
        <item x="113"/>
        <item x="78"/>
        <item x="6"/>
        <item x="145"/>
        <item x="40"/>
        <item x="168"/>
        <item x="130"/>
        <item x="43"/>
        <item x="135"/>
        <item x="0"/>
        <item x="152"/>
        <item x="153"/>
        <item x="114"/>
        <item x="14"/>
        <item t="default"/>
      </items>
    </pivotField>
    <pivotField showAll="0"/>
    <pivotField axis="axisRow" showAll="0" sortType="descending">
      <items count="7">
        <item x="0"/>
        <item x="1"/>
        <item x="5"/>
        <item x="4"/>
        <item x="3"/>
        <item x="2"/>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x="0"/>
        <item x="1"/>
        <item x="3"/>
        <item t="default"/>
      </items>
    </pivotField>
    <pivotField numFmtId="1" showAll="0"/>
    <pivotField numFmtId="164" showAll="0"/>
    <pivotField showAll="0"/>
    <pivotField dataField="1" numFmtId="164" showAll="0"/>
    <pivotField showAll="0" defaultSubtotal="0">
      <items count="1">
        <item x="0"/>
      </items>
    </pivotField>
  </pivotFields>
  <rowFields count="1">
    <field x="2"/>
  </rowFields>
  <rowItems count="7">
    <i>
      <x v="2"/>
    </i>
    <i>
      <x/>
    </i>
    <i>
      <x v="5"/>
    </i>
    <i>
      <x v="1"/>
    </i>
    <i>
      <x v="3"/>
    </i>
    <i>
      <x v="4"/>
    </i>
    <i t="grand">
      <x/>
    </i>
  </rowItems>
  <colItems count="1">
    <i/>
  </colItems>
  <dataFields count="1">
    <dataField name="Sum of Total Sales" fld="9" baseField="0" baseItem="0" numFmtId="164"/>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CBD48F9-2A29-47C2-8BE5-54E9B525CC26}" name="PivotTable3"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date">
  <location ref="A15:B190" firstHeaderRow="1" firstDataRow="1" firstDataCol="1"/>
  <pivotFields count="11">
    <pivotField axis="axisRow" showAll="0">
      <items count="174">
        <item x="104"/>
        <item x="107"/>
        <item x="132"/>
        <item x="32"/>
        <item x="124"/>
        <item x="46"/>
        <item x="150"/>
        <item x="138"/>
        <item x="52"/>
        <item x="60"/>
        <item x="57"/>
        <item x="109"/>
        <item x="117"/>
        <item x="68"/>
        <item x="39"/>
        <item x="147"/>
        <item x="12"/>
        <item x="137"/>
        <item x="56"/>
        <item x="119"/>
        <item x="26"/>
        <item x="35"/>
        <item x="169"/>
        <item x="92"/>
        <item x="11"/>
        <item x="148"/>
        <item x="123"/>
        <item x="159"/>
        <item x="23"/>
        <item x="16"/>
        <item x="171"/>
        <item x="141"/>
        <item x="54"/>
        <item x="38"/>
        <item x="111"/>
        <item x="164"/>
        <item x="162"/>
        <item x="167"/>
        <item x="94"/>
        <item x="49"/>
        <item x="36"/>
        <item x="84"/>
        <item x="172"/>
        <item x="83"/>
        <item x="28"/>
        <item x="165"/>
        <item x="156"/>
        <item x="41"/>
        <item x="19"/>
        <item x="100"/>
        <item x="79"/>
        <item x="7"/>
        <item x="88"/>
        <item x="98"/>
        <item x="157"/>
        <item x="126"/>
        <item x="44"/>
        <item x="33"/>
        <item x="155"/>
        <item x="69"/>
        <item x="112"/>
        <item x="82"/>
        <item x="131"/>
        <item x="31"/>
        <item x="3"/>
        <item x="140"/>
        <item x="86"/>
        <item x="74"/>
        <item x="24"/>
        <item x="115"/>
        <item x="149"/>
        <item x="110"/>
        <item x="45"/>
        <item x="91"/>
        <item x="8"/>
        <item x="48"/>
        <item x="93"/>
        <item x="142"/>
        <item x="20"/>
        <item x="106"/>
        <item x="136"/>
        <item x="99"/>
        <item x="163"/>
        <item x="134"/>
        <item x="102"/>
        <item x="72"/>
        <item x="18"/>
        <item x="101"/>
        <item x="127"/>
        <item x="1"/>
        <item x="61"/>
        <item x="120"/>
        <item x="143"/>
        <item x="81"/>
        <item x="128"/>
        <item x="64"/>
        <item x="89"/>
        <item x="133"/>
        <item x="80"/>
        <item x="85"/>
        <item x="158"/>
        <item x="97"/>
        <item x="17"/>
        <item x="15"/>
        <item x="87"/>
        <item x="27"/>
        <item x="75"/>
        <item x="116"/>
        <item x="62"/>
        <item x="29"/>
        <item x="21"/>
        <item x="76"/>
        <item x="71"/>
        <item x="65"/>
        <item x="105"/>
        <item x="170"/>
        <item x="34"/>
        <item x="166"/>
        <item x="4"/>
        <item x="96"/>
        <item x="151"/>
        <item x="47"/>
        <item x="129"/>
        <item x="95"/>
        <item x="146"/>
        <item x="51"/>
        <item x="73"/>
        <item x="59"/>
        <item x="160"/>
        <item x="154"/>
        <item x="63"/>
        <item x="2"/>
        <item x="10"/>
        <item x="67"/>
        <item x="70"/>
        <item x="144"/>
        <item x="5"/>
        <item x="37"/>
        <item x="125"/>
        <item x="108"/>
        <item x="30"/>
        <item x="42"/>
        <item x="13"/>
        <item x="9"/>
        <item x="53"/>
        <item x="77"/>
        <item x="22"/>
        <item x="103"/>
        <item x="122"/>
        <item x="161"/>
        <item x="90"/>
        <item x="66"/>
        <item x="121"/>
        <item x="58"/>
        <item x="55"/>
        <item x="50"/>
        <item x="139"/>
        <item x="118"/>
        <item x="25"/>
        <item x="113"/>
        <item x="78"/>
        <item x="6"/>
        <item x="145"/>
        <item x="40"/>
        <item x="168"/>
        <item x="130"/>
        <item x="43"/>
        <item x="135"/>
        <item x="0"/>
        <item x="152"/>
        <item x="153"/>
        <item x="114"/>
        <item x="14"/>
        <item t="default"/>
      </items>
    </pivotField>
    <pivotField showAll="0"/>
    <pivotField showAll="0"/>
    <pivotField showAll="0"/>
    <pivotField showAll="0"/>
    <pivotField showAll="0">
      <items count="5">
        <item x="2"/>
        <item x="0"/>
        <item x="1"/>
        <item x="3"/>
        <item t="default"/>
      </items>
    </pivotField>
    <pivotField numFmtId="1" showAll="0"/>
    <pivotField numFmtId="164" showAll="0"/>
    <pivotField showAll="0"/>
    <pivotField dataField="1" numFmtId="164" showAll="0"/>
    <pivotField axis="axisRow" showAll="0">
      <items count="2">
        <item x="0"/>
        <item t="default"/>
      </items>
    </pivotField>
  </pivotFields>
  <rowFields count="2">
    <field x="10"/>
    <field x="0"/>
  </rowFields>
  <rowItems count="175">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r="1">
      <x v="143"/>
    </i>
    <i r="1">
      <x v="144"/>
    </i>
    <i r="1">
      <x v="145"/>
    </i>
    <i r="1">
      <x v="146"/>
    </i>
    <i r="1">
      <x v="147"/>
    </i>
    <i r="1">
      <x v="148"/>
    </i>
    <i r="1">
      <x v="149"/>
    </i>
    <i r="1">
      <x v="150"/>
    </i>
    <i r="1">
      <x v="151"/>
    </i>
    <i r="1">
      <x v="152"/>
    </i>
    <i r="1">
      <x v="153"/>
    </i>
    <i r="1">
      <x v="154"/>
    </i>
    <i r="1">
      <x v="155"/>
    </i>
    <i r="1">
      <x v="156"/>
    </i>
    <i r="1">
      <x v="157"/>
    </i>
    <i r="1">
      <x v="158"/>
    </i>
    <i r="1">
      <x v="159"/>
    </i>
    <i r="1">
      <x v="160"/>
    </i>
    <i r="1">
      <x v="161"/>
    </i>
    <i r="1">
      <x v="162"/>
    </i>
    <i r="1">
      <x v="163"/>
    </i>
    <i r="1">
      <x v="164"/>
    </i>
    <i r="1">
      <x v="165"/>
    </i>
    <i r="1">
      <x v="166"/>
    </i>
    <i r="1">
      <x v="167"/>
    </i>
    <i r="1">
      <x v="168"/>
    </i>
    <i r="1">
      <x v="169"/>
    </i>
    <i r="1">
      <x v="170"/>
    </i>
    <i r="1">
      <x v="171"/>
    </i>
    <i r="1">
      <x v="172"/>
    </i>
    <i t="grand">
      <x/>
    </i>
  </rowItems>
  <colItems count="1">
    <i/>
  </colItems>
  <dataFields count="1">
    <dataField name="Sum of Total Sales" fld="9" baseField="0" baseItem="0" numFmtId="164"/>
  </dataFields>
  <chartFormats count="2">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2015D0F-38F6-4663-8BE5-6A9CAEA416E6}" name="PivotTable2"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3:F8" firstHeaderRow="1" firstDataRow="1" firstDataCol="1"/>
  <pivotFields count="11">
    <pivotField showAll="0">
      <items count="174">
        <item x="104"/>
        <item x="107"/>
        <item x="132"/>
        <item x="32"/>
        <item x="124"/>
        <item x="46"/>
        <item x="150"/>
        <item x="138"/>
        <item x="52"/>
        <item x="60"/>
        <item x="57"/>
        <item x="109"/>
        <item x="117"/>
        <item x="68"/>
        <item x="39"/>
        <item x="147"/>
        <item x="12"/>
        <item x="137"/>
        <item x="56"/>
        <item x="119"/>
        <item x="26"/>
        <item x="35"/>
        <item x="169"/>
        <item x="92"/>
        <item x="11"/>
        <item x="148"/>
        <item x="123"/>
        <item x="159"/>
        <item x="23"/>
        <item x="16"/>
        <item x="171"/>
        <item x="141"/>
        <item x="54"/>
        <item x="38"/>
        <item x="111"/>
        <item x="164"/>
        <item x="162"/>
        <item x="167"/>
        <item x="94"/>
        <item x="49"/>
        <item x="36"/>
        <item x="84"/>
        <item x="172"/>
        <item x="83"/>
        <item x="28"/>
        <item x="165"/>
        <item x="156"/>
        <item x="41"/>
        <item x="19"/>
        <item x="100"/>
        <item x="79"/>
        <item x="7"/>
        <item x="88"/>
        <item x="98"/>
        <item x="157"/>
        <item x="126"/>
        <item x="44"/>
        <item x="33"/>
        <item x="155"/>
        <item x="69"/>
        <item x="112"/>
        <item x="82"/>
        <item x="131"/>
        <item x="31"/>
        <item x="3"/>
        <item x="140"/>
        <item x="86"/>
        <item x="74"/>
        <item x="24"/>
        <item x="115"/>
        <item x="149"/>
        <item x="110"/>
        <item x="45"/>
        <item x="91"/>
        <item x="8"/>
        <item x="48"/>
        <item x="93"/>
        <item x="142"/>
        <item x="20"/>
        <item x="106"/>
        <item x="136"/>
        <item x="99"/>
        <item x="163"/>
        <item x="134"/>
        <item x="102"/>
        <item x="72"/>
        <item x="18"/>
        <item x="101"/>
        <item x="127"/>
        <item x="1"/>
        <item x="61"/>
        <item x="120"/>
        <item x="143"/>
        <item x="81"/>
        <item x="128"/>
        <item x="64"/>
        <item x="89"/>
        <item x="133"/>
        <item x="80"/>
        <item x="85"/>
        <item x="158"/>
        <item x="97"/>
        <item x="17"/>
        <item x="15"/>
        <item x="87"/>
        <item x="27"/>
        <item x="75"/>
        <item x="116"/>
        <item x="62"/>
        <item x="29"/>
        <item x="21"/>
        <item x="76"/>
        <item x="71"/>
        <item x="65"/>
        <item x="105"/>
        <item x="170"/>
        <item x="34"/>
        <item x="166"/>
        <item x="4"/>
        <item x="96"/>
        <item x="151"/>
        <item x="47"/>
        <item x="129"/>
        <item x="95"/>
        <item x="146"/>
        <item x="51"/>
        <item x="73"/>
        <item x="59"/>
        <item x="160"/>
        <item x="154"/>
        <item x="63"/>
        <item x="2"/>
        <item x="10"/>
        <item x="67"/>
        <item x="70"/>
        <item x="144"/>
        <item x="5"/>
        <item x="37"/>
        <item x="125"/>
        <item x="108"/>
        <item x="30"/>
        <item x="42"/>
        <item x="13"/>
        <item x="9"/>
        <item x="53"/>
        <item x="77"/>
        <item x="22"/>
        <item x="103"/>
        <item x="122"/>
        <item x="161"/>
        <item x="90"/>
        <item x="66"/>
        <item x="121"/>
        <item x="58"/>
        <item x="55"/>
        <item x="50"/>
        <item x="139"/>
        <item x="118"/>
        <item x="25"/>
        <item x="113"/>
        <item x="78"/>
        <item x="6"/>
        <item x="145"/>
        <item x="40"/>
        <item x="168"/>
        <item x="130"/>
        <item x="43"/>
        <item x="135"/>
        <item x="0"/>
        <item x="152"/>
        <item x="153"/>
        <item x="114"/>
        <item x="14"/>
        <item t="default"/>
      </items>
    </pivotField>
    <pivotField showAll="0">
      <items count="501">
        <item x="0"/>
        <item h="1"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items count="7">
        <item x="0"/>
        <item h="1" x="1"/>
        <item h="1" x="5"/>
        <item h="1" x="4"/>
        <item h="1" x="3"/>
        <item h="1" x="2"/>
        <item t="default"/>
      </items>
    </pivotField>
    <pivotField showAll="0">
      <items count="5">
        <item x="2"/>
        <item x="0"/>
        <item x="1"/>
        <item x="3"/>
        <item t="default"/>
      </items>
    </pivotField>
    <pivotField showAll="0">
      <items count="7">
        <item x="5"/>
        <item x="0"/>
        <item x="4"/>
        <item x="3"/>
        <item x="1"/>
        <item x="2"/>
        <item t="default"/>
      </items>
    </pivotField>
    <pivotField showAll="0">
      <items count="5">
        <item x="2"/>
        <item x="0"/>
        <item x="1"/>
        <item x="3"/>
        <item t="default"/>
      </items>
    </pivotField>
    <pivotField numFmtId="1" showAll="0">
      <items count="11">
        <item x="2"/>
        <item x="9"/>
        <item x="8"/>
        <item x="3"/>
        <item x="4"/>
        <item x="6"/>
        <item x="5"/>
        <item x="1"/>
        <item x="0"/>
        <item x="7"/>
        <item t="default"/>
      </items>
    </pivotField>
    <pivotField numFmtId="164" showAll="0">
      <items count="501">
        <item x="92"/>
        <item x="384"/>
        <item x="236"/>
        <item x="245"/>
        <item x="479"/>
        <item x="24"/>
        <item x="25"/>
        <item x="330"/>
        <item x="323"/>
        <item x="189"/>
        <item x="235"/>
        <item x="298"/>
        <item x="218"/>
        <item x="381"/>
        <item x="100"/>
        <item x="10"/>
        <item x="105"/>
        <item x="162"/>
        <item x="19"/>
        <item x="131"/>
        <item x="20"/>
        <item x="195"/>
        <item x="326"/>
        <item x="280"/>
        <item x="444"/>
        <item x="169"/>
        <item x="368"/>
        <item x="270"/>
        <item x="387"/>
        <item x="139"/>
        <item x="146"/>
        <item x="327"/>
        <item x="2"/>
        <item x="289"/>
        <item x="56"/>
        <item x="436"/>
        <item x="453"/>
        <item x="203"/>
        <item x="101"/>
        <item x="58"/>
        <item x="258"/>
        <item x="492"/>
        <item x="231"/>
        <item x="477"/>
        <item x="57"/>
        <item x="250"/>
        <item x="495"/>
        <item x="82"/>
        <item x="171"/>
        <item x="77"/>
        <item x="437"/>
        <item x="128"/>
        <item x="386"/>
        <item x="434"/>
        <item x="176"/>
        <item x="485"/>
        <item x="460"/>
        <item x="480"/>
        <item x="263"/>
        <item x="353"/>
        <item x="439"/>
        <item x="37"/>
        <item x="73"/>
        <item x="8"/>
        <item x="39"/>
        <item x="350"/>
        <item x="177"/>
        <item x="51"/>
        <item x="54"/>
        <item x="412"/>
        <item x="401"/>
        <item x="425"/>
        <item x="36"/>
        <item x="282"/>
        <item x="497"/>
        <item x="446"/>
        <item x="416"/>
        <item x="390"/>
        <item x="80"/>
        <item x="205"/>
        <item x="316"/>
        <item x="214"/>
        <item x="87"/>
        <item x="221"/>
        <item x="129"/>
        <item x="46"/>
        <item x="72"/>
        <item x="313"/>
        <item x="314"/>
        <item x="266"/>
        <item x="28"/>
        <item x="355"/>
        <item x="400"/>
        <item x="111"/>
        <item x="85"/>
        <item x="63"/>
        <item x="71"/>
        <item x="414"/>
        <item x="119"/>
        <item x="336"/>
        <item x="15"/>
        <item x="117"/>
        <item x="33"/>
        <item x="352"/>
        <item x="325"/>
        <item x="61"/>
        <item x="228"/>
        <item x="210"/>
        <item x="281"/>
        <item x="201"/>
        <item x="470"/>
        <item x="257"/>
        <item x="285"/>
        <item x="418"/>
        <item x="442"/>
        <item x="48"/>
        <item x="426"/>
        <item x="244"/>
        <item x="143"/>
        <item x="168"/>
        <item x="158"/>
        <item x="135"/>
        <item x="402"/>
        <item x="310"/>
        <item x="98"/>
        <item x="290"/>
        <item x="150"/>
        <item x="79"/>
        <item x="112"/>
        <item x="182"/>
        <item x="457"/>
        <item x="347"/>
        <item x="394"/>
        <item x="318"/>
        <item x="260"/>
        <item x="356"/>
        <item x="230"/>
        <item x="248"/>
        <item x="404"/>
        <item x="88"/>
        <item x="329"/>
        <item x="407"/>
        <item x="341"/>
        <item x="133"/>
        <item x="41"/>
        <item x="251"/>
        <item x="486"/>
        <item x="297"/>
        <item x="181"/>
        <item x="456"/>
        <item x="78"/>
        <item x="498"/>
        <item x="490"/>
        <item x="431"/>
        <item x="124"/>
        <item x="455"/>
        <item x="246"/>
        <item x="271"/>
        <item x="157"/>
        <item x="267"/>
        <item x="332"/>
        <item x="301"/>
        <item x="213"/>
        <item x="90"/>
        <item x="198"/>
        <item x="144"/>
        <item x="443"/>
        <item x="99"/>
        <item x="44"/>
        <item x="275"/>
        <item x="324"/>
        <item x="371"/>
        <item x="496"/>
        <item x="366"/>
        <item x="38"/>
        <item x="22"/>
        <item x="114"/>
        <item x="469"/>
        <item x="435"/>
        <item x="413"/>
        <item x="450"/>
        <item x="167"/>
        <item x="279"/>
        <item x="47"/>
        <item x="179"/>
        <item x="264"/>
        <item x="193"/>
        <item x="265"/>
        <item x="466"/>
        <item x="66"/>
        <item x="107"/>
        <item x="379"/>
        <item x="226"/>
        <item x="59"/>
        <item x="403"/>
        <item x="475"/>
        <item x="5"/>
        <item x="296"/>
        <item x="153"/>
        <item x="211"/>
        <item x="86"/>
        <item x="304"/>
        <item x="380"/>
        <item x="342"/>
        <item x="277"/>
        <item x="376"/>
        <item x="191"/>
        <item x="405"/>
        <item x="286"/>
        <item x="174"/>
        <item x="440"/>
        <item x="206"/>
        <item x="328"/>
        <item x="302"/>
        <item x="283"/>
        <item x="420"/>
        <item x="223"/>
        <item x="122"/>
        <item x="34"/>
        <item x="360"/>
        <item x="151"/>
        <item x="175"/>
        <item x="209"/>
        <item x="268"/>
        <item x="224"/>
        <item x="64"/>
        <item x="130"/>
        <item x="23"/>
        <item x="190"/>
        <item x="399"/>
        <item x="419"/>
        <item x="196"/>
        <item x="94"/>
        <item x="159"/>
        <item x="178"/>
        <item x="428"/>
        <item x="254"/>
        <item x="154"/>
        <item x="253"/>
        <item x="346"/>
        <item x="445"/>
        <item x="269"/>
        <item x="397"/>
        <item x="155"/>
        <item x="237"/>
        <item x="421"/>
        <item x="417"/>
        <item x="478"/>
        <item x="291"/>
        <item x="335"/>
        <item x="3"/>
        <item x="132"/>
        <item x="452"/>
        <item x="361"/>
        <item x="315"/>
        <item x="272"/>
        <item x="357"/>
        <item x="184"/>
        <item x="468"/>
        <item x="95"/>
        <item x="106"/>
        <item x="464"/>
        <item x="233"/>
        <item x="170"/>
        <item x="438"/>
        <item x="242"/>
        <item x="18"/>
        <item x="389"/>
        <item x="120"/>
        <item x="276"/>
        <item x="321"/>
        <item x="493"/>
        <item x="238"/>
        <item x="83"/>
        <item x="27"/>
        <item x="204"/>
        <item x="334"/>
        <item x="17"/>
        <item x="451"/>
        <item x="307"/>
        <item x="163"/>
        <item x="197"/>
        <item x="145"/>
        <item x="471"/>
        <item x="115"/>
        <item x="74"/>
        <item x="375"/>
        <item x="473"/>
        <item x="4"/>
        <item x="165"/>
        <item x="362"/>
        <item x="491"/>
        <item x="482"/>
        <item x="262"/>
        <item x="344"/>
        <item x="240"/>
        <item x="241"/>
        <item x="12"/>
        <item x="243"/>
        <item x="93"/>
        <item x="383"/>
        <item x="369"/>
        <item x="43"/>
        <item x="104"/>
        <item x="422"/>
        <item x="331"/>
        <item x="110"/>
        <item x="370"/>
        <item x="459"/>
        <item x="69"/>
        <item x="382"/>
        <item x="472"/>
        <item x="229"/>
        <item x="60"/>
        <item x="303"/>
        <item x="499"/>
        <item x="293"/>
        <item x="348"/>
        <item x="138"/>
        <item x="9"/>
        <item x="447"/>
        <item x="462"/>
        <item x="13"/>
        <item x="222"/>
        <item x="305"/>
        <item x="225"/>
        <item x="149"/>
        <item x="50"/>
        <item x="411"/>
        <item x="26"/>
        <item x="432"/>
        <item x="489"/>
        <item x="424"/>
        <item x="474"/>
        <item x="137"/>
        <item x="53"/>
        <item x="249"/>
        <item x="483"/>
        <item x="123"/>
        <item x="255"/>
        <item x="320"/>
        <item x="84"/>
        <item x="363"/>
        <item x="461"/>
        <item x="125"/>
        <item x="449"/>
        <item x="212"/>
        <item x="188"/>
        <item x="234"/>
        <item x="259"/>
        <item x="333"/>
        <item x="108"/>
        <item x="476"/>
        <item x="127"/>
        <item x="292"/>
        <item x="185"/>
        <item x="295"/>
        <item x="164"/>
        <item x="415"/>
        <item x="118"/>
        <item x="494"/>
        <item x="339"/>
        <item x="273"/>
        <item x="306"/>
        <item x="465"/>
        <item x="40"/>
        <item x="467"/>
        <item x="67"/>
        <item x="199"/>
        <item x="406"/>
        <item x="408"/>
        <item x="247"/>
        <item x="76"/>
        <item x="173"/>
        <item x="365"/>
        <item x="134"/>
        <item x="340"/>
        <item x="207"/>
        <item x="192"/>
        <item x="308"/>
        <item x="284"/>
        <item x="81"/>
        <item x="487"/>
        <item x="364"/>
        <item x="156"/>
        <item x="274"/>
        <item x="454"/>
        <item x="126"/>
        <item x="392"/>
        <item x="172"/>
        <item x="217"/>
        <item x="388"/>
        <item x="142"/>
        <item x="1"/>
        <item x="183"/>
        <item x="481"/>
        <item x="239"/>
        <item x="208"/>
        <item x="70"/>
        <item x="309"/>
        <item x="317"/>
        <item x="429"/>
        <item x="200"/>
        <item x="349"/>
        <item x="29"/>
        <item x="338"/>
        <item x="288"/>
        <item x="30"/>
        <item x="374"/>
        <item x="91"/>
        <item x="319"/>
        <item x="312"/>
        <item x="294"/>
        <item x="372"/>
        <item x="109"/>
        <item x="488"/>
        <item x="121"/>
        <item x="287"/>
        <item x="35"/>
        <item x="89"/>
        <item x="252"/>
        <item x="31"/>
        <item x="96"/>
        <item x="427"/>
        <item x="391"/>
        <item x="148"/>
        <item x="256"/>
        <item x="395"/>
        <item x="75"/>
        <item x="55"/>
        <item x="410"/>
        <item x="21"/>
        <item x="227"/>
        <item x="433"/>
        <item x="219"/>
        <item x="278"/>
        <item x="232"/>
        <item x="166"/>
        <item x="378"/>
        <item x="398"/>
        <item x="216"/>
        <item x="261"/>
        <item x="311"/>
        <item x="152"/>
        <item x="337"/>
        <item x="68"/>
        <item x="45"/>
        <item x="6"/>
        <item x="32"/>
        <item x="215"/>
        <item x="322"/>
        <item x="194"/>
        <item x="385"/>
        <item x="463"/>
        <item x="140"/>
        <item x="136"/>
        <item x="343"/>
        <item x="14"/>
        <item x="345"/>
        <item x="441"/>
        <item x="202"/>
        <item x="448"/>
        <item x="116"/>
        <item x="0"/>
        <item x="358"/>
        <item x="141"/>
        <item x="11"/>
        <item x="299"/>
        <item x="42"/>
        <item x="373"/>
        <item x="377"/>
        <item x="103"/>
        <item x="62"/>
        <item x="423"/>
        <item x="396"/>
        <item x="97"/>
        <item x="354"/>
        <item x="102"/>
        <item x="49"/>
        <item x="65"/>
        <item x="367"/>
        <item x="393"/>
        <item x="484"/>
        <item x="180"/>
        <item x="351"/>
        <item x="16"/>
        <item x="430"/>
        <item x="161"/>
        <item x="160"/>
        <item x="409"/>
        <item x="458"/>
        <item x="52"/>
        <item x="7"/>
        <item x="187"/>
        <item x="300"/>
        <item x="220"/>
        <item x="113"/>
        <item x="186"/>
        <item x="359"/>
        <item x="147"/>
        <item t="default"/>
      </items>
    </pivotField>
    <pivotField axis="axisRow" showAll="0">
      <items count="5">
        <item x="1"/>
        <item x="3"/>
        <item x="2"/>
        <item x="0"/>
        <item t="default"/>
      </items>
    </pivotField>
    <pivotField dataField="1" numFmtId="164" showAll="0">
      <items count="501">
        <item x="100"/>
        <item x="169"/>
        <item x="139"/>
        <item x="2"/>
        <item x="350"/>
        <item x="425"/>
        <item x="497"/>
        <item x="87"/>
        <item x="28"/>
        <item x="355"/>
        <item x="245"/>
        <item x="210"/>
        <item x="310"/>
        <item x="112"/>
        <item x="318"/>
        <item x="387"/>
        <item x="133"/>
        <item x="124"/>
        <item x="271"/>
        <item x="267"/>
        <item x="480"/>
        <item x="353"/>
        <item x="105"/>
        <item x="280"/>
        <item x="289"/>
        <item x="101"/>
        <item x="231"/>
        <item x="437"/>
        <item x="39"/>
        <item x="36"/>
        <item x="80"/>
        <item x="63"/>
        <item x="33"/>
        <item x="352"/>
        <item x="228"/>
        <item x="79"/>
        <item x="182"/>
        <item x="270"/>
        <item x="436"/>
        <item x="486"/>
        <item x="498"/>
        <item x="490"/>
        <item x="301"/>
        <item x="177"/>
        <item x="479"/>
        <item x="176"/>
        <item x="316"/>
        <item x="221"/>
        <item x="54"/>
        <item x="412"/>
        <item x="401"/>
        <item x="330"/>
        <item x="298"/>
        <item x="381"/>
        <item x="162"/>
        <item x="48"/>
        <item x="20"/>
        <item x="251"/>
        <item x="56"/>
        <item x="203"/>
        <item x="78"/>
        <item x="495"/>
        <item x="77"/>
        <item x="485"/>
        <item x="263"/>
        <item x="439"/>
        <item x="323"/>
        <item x="189"/>
        <item x="51"/>
        <item x="218"/>
        <item x="453"/>
        <item x="492"/>
        <item x="477"/>
        <item x="92"/>
        <item x="384"/>
        <item x="128"/>
        <item x="236"/>
        <item x="460"/>
        <item x="257"/>
        <item x="10"/>
        <item x="442"/>
        <item x="19"/>
        <item x="73"/>
        <item x="131"/>
        <item x="402"/>
        <item x="326"/>
        <item x="394"/>
        <item x="368"/>
        <item x="146"/>
        <item x="230"/>
        <item x="58"/>
        <item x="258"/>
        <item x="82"/>
        <item x="171"/>
        <item x="157"/>
        <item x="24"/>
        <item x="25"/>
        <item x="434"/>
        <item x="8"/>
        <item x="266"/>
        <item x="336"/>
        <item x="117"/>
        <item x="235"/>
        <item x="470"/>
        <item x="168"/>
        <item x="135"/>
        <item x="195"/>
        <item x="347"/>
        <item x="444"/>
        <item x="327"/>
        <item x="88"/>
        <item x="57"/>
        <item x="250"/>
        <item x="386"/>
        <item x="72"/>
        <item x="85"/>
        <item x="37"/>
        <item x="71"/>
        <item x="61"/>
        <item x="281"/>
        <item x="201"/>
        <item x="285"/>
        <item x="290"/>
        <item x="260"/>
        <item x="329"/>
        <item x="282"/>
        <item x="416"/>
        <item x="390"/>
        <item x="246"/>
        <item x="332"/>
        <item x="129"/>
        <item x="313"/>
        <item x="314"/>
        <item x="119"/>
        <item x="426"/>
        <item x="90"/>
        <item x="356"/>
        <item x="248"/>
        <item x="341"/>
        <item x="297"/>
        <item x="371"/>
        <item x="205"/>
        <item x="181"/>
        <item x="214"/>
        <item x="455"/>
        <item x="107"/>
        <item x="211"/>
        <item x="244"/>
        <item x="143"/>
        <item x="206"/>
        <item x="302"/>
        <item x="150"/>
        <item x="457"/>
        <item x="360"/>
        <item x="407"/>
        <item x="456"/>
        <item x="111"/>
        <item x="431"/>
        <item x="94"/>
        <item x="414"/>
        <item x="178"/>
        <item x="154"/>
        <item x="158"/>
        <item x="446"/>
        <item x="46"/>
        <item x="41"/>
        <item x="400"/>
        <item x="15"/>
        <item x="325"/>
        <item x="418"/>
        <item x="98"/>
        <item x="404"/>
        <item x="167"/>
        <item x="291"/>
        <item x="361"/>
        <item x="296"/>
        <item x="106"/>
        <item x="389"/>
        <item x="321"/>
        <item x="174"/>
        <item x="334"/>
        <item x="17"/>
        <item x="165"/>
        <item x="23"/>
        <item x="43"/>
        <item x="229"/>
        <item x="50"/>
        <item x="188"/>
        <item x="333"/>
        <item x="306"/>
        <item x="247"/>
        <item x="208"/>
        <item x="312"/>
        <item x="35"/>
        <item x="22"/>
        <item x="114"/>
        <item x="179"/>
        <item x="66"/>
        <item x="226"/>
        <item x="403"/>
        <item x="376"/>
        <item x="286"/>
        <item x="223"/>
        <item x="151"/>
        <item x="268"/>
        <item x="224"/>
        <item x="413"/>
        <item x="59"/>
        <item x="328"/>
        <item x="283"/>
        <item x="163"/>
        <item x="115"/>
        <item x="473"/>
        <item x="21"/>
        <item x="491"/>
        <item x="482"/>
        <item x="433"/>
        <item x="130"/>
        <item x="331"/>
        <item x="343"/>
        <item x="198"/>
        <item x="149"/>
        <item x="11"/>
        <item x="320"/>
        <item x="125"/>
        <item x="354"/>
        <item x="234"/>
        <item x="164"/>
        <item x="351"/>
        <item x="5"/>
        <item x="52"/>
        <item x="465"/>
        <item x="40"/>
        <item x="7"/>
        <item x="304"/>
        <item x="342"/>
        <item x="277"/>
        <item x="147"/>
        <item x="405"/>
        <item x="134"/>
        <item x="454"/>
        <item x="126"/>
        <item x="183"/>
        <item x="70"/>
        <item x="338"/>
        <item x="288"/>
        <item x="374"/>
        <item x="196"/>
        <item x="89"/>
        <item x="99"/>
        <item x="253"/>
        <item x="96"/>
        <item x="38"/>
        <item x="237"/>
        <item x="466"/>
        <item x="184"/>
        <item x="464"/>
        <item x="170"/>
        <item x="86"/>
        <item x="144"/>
        <item x="241"/>
        <item x="366"/>
        <item x="159"/>
        <item x="422"/>
        <item x="264"/>
        <item x="265"/>
        <item x="379"/>
        <item x="225"/>
        <item x="475"/>
        <item x="424"/>
        <item x="483"/>
        <item x="380"/>
        <item x="191"/>
        <item x="259"/>
        <item x="476"/>
        <item x="127"/>
        <item x="443"/>
        <item x="175"/>
        <item x="275"/>
        <item x="324"/>
        <item x="190"/>
        <item x="399"/>
        <item x="435"/>
        <item x="269"/>
        <item x="279"/>
        <item x="308"/>
        <item x="3"/>
        <item x="132"/>
        <item x="315"/>
        <item x="272"/>
        <item x="239"/>
        <item x="200"/>
        <item x="18"/>
        <item x="30"/>
        <item x="120"/>
        <item x="319"/>
        <item x="294"/>
        <item x="213"/>
        <item x="362"/>
        <item x="152"/>
        <item x="68"/>
        <item x="153"/>
        <item x="463"/>
        <item x="489"/>
        <item x="44"/>
        <item x="420"/>
        <item x="496"/>
        <item x="42"/>
        <item x="34"/>
        <item x="363"/>
        <item x="469"/>
        <item x="450"/>
        <item x="209"/>
        <item x="47"/>
        <item x="478"/>
        <item x="193"/>
        <item x="335"/>
        <item x="295"/>
        <item x="419"/>
        <item x="339"/>
        <item x="160"/>
        <item x="254"/>
        <item x="199"/>
        <item x="187"/>
        <item x="440"/>
        <item x="81"/>
        <item x="27"/>
        <item x="204"/>
        <item x="122"/>
        <item x="481"/>
        <item x="74"/>
        <item x="309"/>
        <item x="29"/>
        <item x="240"/>
        <item x="64"/>
        <item x="428"/>
        <item x="370"/>
        <item x="222"/>
        <item x="445"/>
        <item x="397"/>
        <item x="137"/>
        <item x="255"/>
        <item x="461"/>
        <item x="118"/>
        <item x="238"/>
        <item x="273"/>
        <item x="406"/>
        <item x="375"/>
        <item x="262"/>
        <item x="364"/>
        <item x="156"/>
        <item x="12"/>
        <item x="383"/>
        <item x="217"/>
        <item x="337"/>
        <item x="346"/>
        <item x="140"/>
        <item x="499"/>
        <item x="447"/>
        <item x="462"/>
        <item x="305"/>
        <item x="468"/>
        <item x="95"/>
        <item x="116"/>
        <item x="474"/>
        <item x="249"/>
        <item x="233"/>
        <item x="62"/>
        <item x="97"/>
        <item x="451"/>
        <item x="197"/>
        <item x="484"/>
        <item x="16"/>
        <item x="161"/>
        <item x="458"/>
        <item x="344"/>
        <item x="67"/>
        <item x="76"/>
        <item x="365"/>
        <item x="421"/>
        <item x="417"/>
        <item x="104"/>
        <item x="172"/>
        <item x="60"/>
        <item x="303"/>
        <item x="9"/>
        <item x="13"/>
        <item x="349"/>
        <item x="438"/>
        <item x="242"/>
        <item x="287"/>
        <item x="84"/>
        <item x="148"/>
        <item x="256"/>
        <item x="395"/>
        <item x="292"/>
        <item x="243"/>
        <item x="311"/>
        <item x="408"/>
        <item x="173"/>
        <item x="207"/>
        <item x="192"/>
        <item x="69"/>
        <item x="284"/>
        <item x="487"/>
        <item x="274"/>
        <item x="293"/>
        <item x="392"/>
        <item x="388"/>
        <item x="142"/>
        <item x="83"/>
        <item x="358"/>
        <item x="307"/>
        <item x="91"/>
        <item x="145"/>
        <item x="372"/>
        <item x="488"/>
        <item x="396"/>
        <item x="155"/>
        <item x="4"/>
        <item x="108"/>
        <item x="185"/>
        <item x="452"/>
        <item x="415"/>
        <item x="357"/>
        <item x="467"/>
        <item x="472"/>
        <item x="359"/>
        <item x="276"/>
        <item x="348"/>
        <item x="138"/>
        <item x="493"/>
        <item x="53"/>
        <item x="1"/>
        <item x="471"/>
        <item x="123"/>
        <item x="449"/>
        <item x="93"/>
        <item x="369"/>
        <item x="121"/>
        <item x="45"/>
        <item x="494"/>
        <item x="32"/>
        <item x="110"/>
        <item x="459"/>
        <item x="382"/>
        <item x="136"/>
        <item x="14"/>
        <item x="202"/>
        <item x="340"/>
        <item x="411"/>
        <item x="26"/>
        <item x="448"/>
        <item x="432"/>
        <item x="299"/>
        <item x="377"/>
        <item x="429"/>
        <item x="212"/>
        <item x="102"/>
        <item x="109"/>
        <item x="180"/>
        <item x="430"/>
        <item x="252"/>
        <item x="31"/>
        <item x="232"/>
        <item x="317"/>
        <item x="385"/>
        <item x="441"/>
        <item x="367"/>
        <item x="219"/>
        <item x="278"/>
        <item x="300"/>
        <item x="378"/>
        <item x="186"/>
        <item x="6"/>
        <item x="322"/>
        <item x="194"/>
        <item x="423"/>
        <item x="55"/>
        <item x="410"/>
        <item x="409"/>
        <item x="216"/>
        <item x="141"/>
        <item x="391"/>
        <item x="103"/>
        <item x="49"/>
        <item x="65"/>
        <item x="166"/>
        <item x="398"/>
        <item x="261"/>
        <item x="215"/>
        <item x="113"/>
        <item x="345"/>
        <item x="0"/>
        <item x="427"/>
        <item x="75"/>
        <item x="373"/>
        <item x="227"/>
        <item x="393"/>
        <item x="220"/>
        <item t="default"/>
      </items>
    </pivotField>
    <pivotField showAll="0">
      <items count="2">
        <item x="0"/>
        <item t="default"/>
      </items>
    </pivotField>
  </pivotFields>
  <rowFields count="1">
    <field x="8"/>
  </rowFields>
  <rowItems count="5">
    <i>
      <x/>
    </i>
    <i>
      <x v="1"/>
    </i>
    <i>
      <x v="2"/>
    </i>
    <i>
      <x v="3"/>
    </i>
    <i t="grand">
      <x/>
    </i>
  </rowItems>
  <colItems count="1">
    <i/>
  </colItems>
  <dataFields count="1">
    <dataField name="Sum of Total Sales" fld="9" baseField="0" baseItem="0" numFmtId="164"/>
  </dataFields>
  <chartFormats count="6">
    <chartFormat chart="1"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8" count="1" selected="0">
            <x v="0"/>
          </reference>
        </references>
      </pivotArea>
    </chartFormat>
    <chartFormat chart="3" format="8">
      <pivotArea type="data" outline="0" fieldPosition="0">
        <references count="2">
          <reference field="4294967294" count="1" selected="0">
            <x v="0"/>
          </reference>
          <reference field="8" count="1" selected="0">
            <x v="1"/>
          </reference>
        </references>
      </pivotArea>
    </chartFormat>
    <chartFormat chart="3" format="9">
      <pivotArea type="data" outline="0" fieldPosition="0">
        <references count="2">
          <reference field="4294967294" count="1" selected="0">
            <x v="0"/>
          </reference>
          <reference field="8" count="1" selected="0">
            <x v="2"/>
          </reference>
        </references>
      </pivotArea>
    </chartFormat>
    <chartFormat chart="3" format="10">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D7CA9A0-A9D7-43D9-81B3-9A4776A8FC32}" name="PivotTable1"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11">
    <pivotField showAll="0">
      <items count="174">
        <item x="104"/>
        <item x="107"/>
        <item x="132"/>
        <item x="32"/>
        <item x="124"/>
        <item x="46"/>
        <item x="150"/>
        <item x="138"/>
        <item x="52"/>
        <item x="60"/>
        <item x="57"/>
        <item x="109"/>
        <item x="117"/>
        <item x="68"/>
        <item x="39"/>
        <item x="147"/>
        <item x="12"/>
        <item x="137"/>
        <item x="56"/>
        <item x="119"/>
        <item x="26"/>
        <item x="35"/>
        <item x="169"/>
        <item x="92"/>
        <item x="11"/>
        <item x="148"/>
        <item x="123"/>
        <item x="159"/>
        <item x="23"/>
        <item x="16"/>
        <item x="171"/>
        <item x="141"/>
        <item x="54"/>
        <item x="38"/>
        <item x="111"/>
        <item x="164"/>
        <item x="162"/>
        <item x="167"/>
        <item x="94"/>
        <item x="49"/>
        <item x="36"/>
        <item x="84"/>
        <item x="172"/>
        <item x="83"/>
        <item x="28"/>
        <item x="165"/>
        <item x="156"/>
        <item x="41"/>
        <item x="19"/>
        <item x="100"/>
        <item x="79"/>
        <item x="7"/>
        <item x="88"/>
        <item x="98"/>
        <item x="157"/>
        <item x="126"/>
        <item x="44"/>
        <item x="33"/>
        <item x="155"/>
        <item x="69"/>
        <item x="112"/>
        <item x="82"/>
        <item x="131"/>
        <item x="31"/>
        <item x="3"/>
        <item x="140"/>
        <item x="86"/>
        <item x="74"/>
        <item x="24"/>
        <item x="115"/>
        <item x="149"/>
        <item x="110"/>
        <item x="45"/>
        <item x="91"/>
        <item x="8"/>
        <item x="48"/>
        <item x="93"/>
        <item x="142"/>
        <item x="20"/>
        <item x="106"/>
        <item x="136"/>
        <item x="99"/>
        <item x="163"/>
        <item x="134"/>
        <item x="102"/>
        <item x="72"/>
        <item x="18"/>
        <item x="101"/>
        <item x="127"/>
        <item x="1"/>
        <item x="61"/>
        <item x="120"/>
        <item x="143"/>
        <item x="81"/>
        <item x="128"/>
        <item x="64"/>
        <item x="89"/>
        <item x="133"/>
        <item x="80"/>
        <item x="85"/>
        <item x="158"/>
        <item x="97"/>
        <item x="17"/>
        <item x="15"/>
        <item x="87"/>
        <item x="27"/>
        <item x="75"/>
        <item x="116"/>
        <item x="62"/>
        <item x="29"/>
        <item x="21"/>
        <item x="76"/>
        <item x="71"/>
        <item x="65"/>
        <item x="105"/>
        <item x="170"/>
        <item x="34"/>
        <item x="166"/>
        <item x="4"/>
        <item x="96"/>
        <item x="151"/>
        <item x="47"/>
        <item x="129"/>
        <item x="95"/>
        <item x="146"/>
        <item x="51"/>
        <item x="73"/>
        <item x="59"/>
        <item x="160"/>
        <item x="154"/>
        <item x="63"/>
        <item x="2"/>
        <item x="10"/>
        <item x="67"/>
        <item x="70"/>
        <item x="144"/>
        <item x="5"/>
        <item x="37"/>
        <item x="125"/>
        <item x="108"/>
        <item x="30"/>
        <item x="42"/>
        <item x="13"/>
        <item x="9"/>
        <item x="53"/>
        <item x="77"/>
        <item x="22"/>
        <item x="103"/>
        <item x="122"/>
        <item x="161"/>
        <item x="90"/>
        <item x="66"/>
        <item x="121"/>
        <item x="58"/>
        <item x="55"/>
        <item x="50"/>
        <item x="139"/>
        <item x="118"/>
        <item x="25"/>
        <item x="113"/>
        <item x="78"/>
        <item x="6"/>
        <item x="145"/>
        <item x="40"/>
        <item x="168"/>
        <item x="130"/>
        <item x="43"/>
        <item x="135"/>
        <item x="0"/>
        <item x="152"/>
        <item x="153"/>
        <item x="114"/>
        <item x="14"/>
        <item t="default"/>
      </items>
    </pivotField>
    <pivotField showAll="0"/>
    <pivotField showAll="0"/>
    <pivotField axis="axisRow" showAll="0">
      <items count="5">
        <item x="2"/>
        <item x="0"/>
        <item x="1"/>
        <item x="3"/>
        <item t="default"/>
      </items>
    </pivotField>
    <pivotField showAll="0"/>
    <pivotField showAll="0">
      <items count="5">
        <item x="2"/>
        <item x="0"/>
        <item x="1"/>
        <item x="3"/>
        <item t="default"/>
      </items>
    </pivotField>
    <pivotField numFmtId="1" showAll="0"/>
    <pivotField numFmtId="164" showAll="0"/>
    <pivotField showAll="0"/>
    <pivotField dataField="1" numFmtId="164" showAll="0"/>
    <pivotField showAll="0">
      <items count="2">
        <item x="0"/>
        <item t="default"/>
      </items>
    </pivotField>
  </pivotFields>
  <rowFields count="1">
    <field x="3"/>
  </rowFields>
  <rowItems count="5">
    <i>
      <x/>
    </i>
    <i>
      <x v="1"/>
    </i>
    <i>
      <x v="2"/>
    </i>
    <i>
      <x v="3"/>
    </i>
    <i t="grand">
      <x/>
    </i>
  </rowItems>
  <colItems count="1">
    <i/>
  </colItems>
  <dataFields count="1">
    <dataField name="Sum of Total Sales" fld="9" baseField="0" baseItem="0" numFmtId="164"/>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001B541-DE65-4727-A443-07DD1D97FEEE}" sourceName="Category">
  <pivotTables>
    <pivotTable tabId="2" name="PivotTable2"/>
    <pivotTable tabId="2" name="PivotTable1"/>
    <pivotTable tabId="2" name="PivotTable3"/>
    <pivotTable tabId="2" name="PivotTable4"/>
  </pivotTables>
  <data>
    <tabular pivotCacheId="175316922">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04D05F2C-1296-4DC0-B0C6-A5EA7864CC4B}" cache="Slicer_Category" caption="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376A16D-6874-4922-B9BB-EC916D5628D6}" name="Table1" displayName="Table1" ref="A1:J501" totalsRowShown="0">
  <autoFilter ref="A1:J501" xr:uid="{6376A16D-6874-4922-B9BB-EC916D5628D6}"/>
  <tableColumns count="10">
    <tableColumn id="1" xr3:uid="{2D39BE0E-823B-4C9A-BCF9-E9B48CF306E3}" name="Date" dataDxfId="3"/>
    <tableColumn id="2" xr3:uid="{04C6525E-1F65-42CD-8931-14627189EB8D}" name="Order ID"/>
    <tableColumn id="3" xr3:uid="{FD1146C8-6AC2-4006-B7F8-D825DA572CB7}" name="Employee Name"/>
    <tableColumn id="4" xr3:uid="{5186A47E-1BD9-4118-97FB-CDA5867E8B71}" name="Department"/>
    <tableColumn id="5" xr3:uid="{BDF89D35-BDC3-43E0-B219-EDD2A093D4CC}" name="Product"/>
    <tableColumn id="6" xr3:uid="{6E40E103-7DC5-4A50-BEB2-D351FBC16D74}" name="Category"/>
    <tableColumn id="7" xr3:uid="{4551CD03-C5F6-4B34-9E50-A33F0E819F8A}" name="Quantity" dataDxfId="2"/>
    <tableColumn id="8" xr3:uid="{3E7CC6AF-F4C4-416B-B8EB-C26AE39F9524}" name="Unit Price" dataDxfId="1"/>
    <tableColumn id="9" xr3:uid="{F6A512D6-FF02-4FCC-90F5-F7F56912FA60}" name="Region"/>
    <tableColumn id="10" xr3:uid="{1DC16FBB-366A-4493-9EEF-552B1EF5C46B}" name="Total Sales"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01"/>
  <sheetViews>
    <sheetView topLeftCell="A420" workbookViewId="0">
      <selection activeCell="E24" sqref="E24"/>
    </sheetView>
  </sheetViews>
  <sheetFormatPr defaultRowHeight="14.5" x14ac:dyDescent="0.35"/>
  <cols>
    <col min="1" max="1" width="12.6328125" style="5" customWidth="1"/>
    <col min="2" max="2" width="13.26953125" customWidth="1"/>
    <col min="3" max="3" width="16.36328125" customWidth="1"/>
    <col min="4" max="4" width="19.7265625" customWidth="1"/>
    <col min="5" max="5" width="12" customWidth="1"/>
    <col min="6" max="6" width="17.26953125" customWidth="1"/>
    <col min="7" max="7" width="10.1796875" style="7" customWidth="1"/>
    <col min="8" max="8" width="14.7265625" style="1" customWidth="1"/>
    <col min="10" max="10" width="11.7265625" style="1" bestFit="1" customWidth="1"/>
  </cols>
  <sheetData>
    <row r="1" spans="1:10" s="2" customFormat="1" x14ac:dyDescent="0.35">
      <c r="A1" s="4" t="s">
        <v>0</v>
      </c>
      <c r="B1" s="2" t="s">
        <v>1</v>
      </c>
      <c r="C1" s="2" t="s">
        <v>2</v>
      </c>
      <c r="D1" s="2" t="s">
        <v>3</v>
      </c>
      <c r="E1" s="2" t="s">
        <v>4</v>
      </c>
      <c r="F1" s="2" t="s">
        <v>5</v>
      </c>
      <c r="G1" s="6" t="s">
        <v>6</v>
      </c>
      <c r="H1" s="3" t="s">
        <v>7</v>
      </c>
      <c r="I1" s="2" t="s">
        <v>8</v>
      </c>
      <c r="J1" s="3" t="s">
        <v>9</v>
      </c>
    </row>
    <row r="2" spans="1:10" x14ac:dyDescent="0.35">
      <c r="A2" s="5" t="s">
        <v>10</v>
      </c>
      <c r="B2" t="s">
        <v>11</v>
      </c>
      <c r="C2" t="s">
        <v>12</v>
      </c>
      <c r="D2" t="s">
        <v>13</v>
      </c>
      <c r="E2" t="s">
        <v>14</v>
      </c>
      <c r="F2" t="s">
        <v>13</v>
      </c>
      <c r="G2" s="7">
        <v>9</v>
      </c>
      <c r="H2" s="1">
        <v>55100.47</v>
      </c>
      <c r="I2" t="s">
        <v>15</v>
      </c>
      <c r="J2" s="1">
        <v>495904.23</v>
      </c>
    </row>
    <row r="3" spans="1:10" x14ac:dyDescent="0.35">
      <c r="A3" s="5" t="s">
        <v>16</v>
      </c>
      <c r="B3" t="s">
        <v>17</v>
      </c>
      <c r="C3" t="s">
        <v>18</v>
      </c>
      <c r="D3" t="s">
        <v>19</v>
      </c>
      <c r="E3" t="s">
        <v>20</v>
      </c>
      <c r="F3" t="s">
        <v>19</v>
      </c>
      <c r="G3" s="7">
        <v>8</v>
      </c>
      <c r="H3" s="1">
        <v>31288.01</v>
      </c>
      <c r="I3" t="s">
        <v>21</v>
      </c>
      <c r="J3" s="1">
        <v>250304.08</v>
      </c>
    </row>
    <row r="4" spans="1:10" x14ac:dyDescent="0.35">
      <c r="A4" s="5" t="s">
        <v>22</v>
      </c>
      <c r="B4" t="s">
        <v>23</v>
      </c>
      <c r="C4" t="s">
        <v>18</v>
      </c>
      <c r="D4" t="s">
        <v>24</v>
      </c>
      <c r="E4" t="s">
        <v>25</v>
      </c>
      <c r="F4" t="s">
        <v>24</v>
      </c>
      <c r="G4" s="7">
        <v>1</v>
      </c>
      <c r="H4" s="1">
        <v>782.37</v>
      </c>
      <c r="I4" t="s">
        <v>15</v>
      </c>
      <c r="J4" s="1">
        <v>782.37</v>
      </c>
    </row>
    <row r="5" spans="1:10" x14ac:dyDescent="0.35">
      <c r="A5" s="5" t="s">
        <v>26</v>
      </c>
      <c r="B5" t="s">
        <v>27</v>
      </c>
      <c r="C5" t="s">
        <v>28</v>
      </c>
      <c r="D5" t="s">
        <v>13</v>
      </c>
      <c r="E5" t="s">
        <v>29</v>
      </c>
      <c r="F5" t="s">
        <v>13</v>
      </c>
      <c r="G5" s="7">
        <v>4</v>
      </c>
      <c r="H5" s="1">
        <v>23125.7</v>
      </c>
      <c r="I5" t="s">
        <v>30</v>
      </c>
      <c r="J5" s="1">
        <v>92502.8</v>
      </c>
    </row>
    <row r="6" spans="1:10" x14ac:dyDescent="0.35">
      <c r="A6" s="5" t="s">
        <v>31</v>
      </c>
      <c r="B6" t="s">
        <v>32</v>
      </c>
      <c r="C6" t="s">
        <v>18</v>
      </c>
      <c r="D6" t="s">
        <v>13</v>
      </c>
      <c r="E6" t="s">
        <v>29</v>
      </c>
      <c r="F6" t="s">
        <v>13</v>
      </c>
      <c r="G6" s="7">
        <v>9</v>
      </c>
      <c r="H6" s="1">
        <v>25342.31</v>
      </c>
      <c r="I6" t="s">
        <v>15</v>
      </c>
      <c r="J6" s="1">
        <v>228080.79</v>
      </c>
    </row>
    <row r="7" spans="1:10" x14ac:dyDescent="0.35">
      <c r="A7" s="5" t="s">
        <v>33</v>
      </c>
      <c r="B7" t="s">
        <v>34</v>
      </c>
      <c r="C7" t="s">
        <v>35</v>
      </c>
      <c r="D7" t="s">
        <v>19</v>
      </c>
      <c r="E7" t="s">
        <v>36</v>
      </c>
      <c r="F7" t="s">
        <v>19</v>
      </c>
      <c r="G7" s="7">
        <v>5</v>
      </c>
      <c r="H7" s="1">
        <v>11740.44</v>
      </c>
      <c r="I7" t="s">
        <v>30</v>
      </c>
      <c r="J7" s="1">
        <v>58702.2</v>
      </c>
    </row>
    <row r="8" spans="1:10" x14ac:dyDescent="0.35">
      <c r="A8" s="5" t="s">
        <v>37</v>
      </c>
      <c r="B8" t="s">
        <v>38</v>
      </c>
      <c r="C8" t="s">
        <v>18</v>
      </c>
      <c r="D8" t="s">
        <v>13</v>
      </c>
      <c r="E8" t="s">
        <v>14</v>
      </c>
      <c r="F8" t="s">
        <v>13</v>
      </c>
      <c r="G8" s="7">
        <v>7</v>
      </c>
      <c r="H8" s="1">
        <v>52569.67</v>
      </c>
      <c r="I8" t="s">
        <v>21</v>
      </c>
      <c r="J8" s="1">
        <v>367987.69</v>
      </c>
    </row>
    <row r="9" spans="1:10" x14ac:dyDescent="0.35">
      <c r="A9" s="5" t="s">
        <v>39</v>
      </c>
      <c r="B9" t="s">
        <v>40</v>
      </c>
      <c r="C9" t="s">
        <v>35</v>
      </c>
      <c r="D9" t="s">
        <v>13</v>
      </c>
      <c r="E9" t="s">
        <v>14</v>
      </c>
      <c r="F9" t="s">
        <v>13</v>
      </c>
      <c r="G9" s="7">
        <v>1</v>
      </c>
      <c r="H9" s="1">
        <v>59635.83</v>
      </c>
      <c r="I9" t="s">
        <v>41</v>
      </c>
      <c r="J9" s="1">
        <v>59635.83</v>
      </c>
    </row>
    <row r="10" spans="1:10" x14ac:dyDescent="0.35">
      <c r="A10" s="5" t="s">
        <v>42</v>
      </c>
      <c r="B10" t="s">
        <v>43</v>
      </c>
      <c r="C10" t="s">
        <v>28</v>
      </c>
      <c r="D10" t="s">
        <v>24</v>
      </c>
      <c r="E10" t="s">
        <v>25</v>
      </c>
      <c r="F10" t="s">
        <v>24</v>
      </c>
      <c r="G10" s="7">
        <v>8</v>
      </c>
      <c r="H10" s="1">
        <v>868.14</v>
      </c>
      <c r="I10" t="s">
        <v>21</v>
      </c>
      <c r="J10" s="1">
        <v>6945.12</v>
      </c>
    </row>
    <row r="11" spans="1:10" x14ac:dyDescent="0.35">
      <c r="A11" s="5" t="s">
        <v>44</v>
      </c>
      <c r="B11" t="s">
        <v>45</v>
      </c>
      <c r="C11" t="s">
        <v>35</v>
      </c>
      <c r="D11" t="s">
        <v>13</v>
      </c>
      <c r="E11" t="s">
        <v>29</v>
      </c>
      <c r="F11" t="s">
        <v>13</v>
      </c>
      <c r="G11" s="7">
        <v>7</v>
      </c>
      <c r="H11" s="1">
        <v>27053.69</v>
      </c>
      <c r="I11" t="s">
        <v>41</v>
      </c>
      <c r="J11" s="1">
        <v>189375.83</v>
      </c>
    </row>
    <row r="12" spans="1:10" x14ac:dyDescent="0.35">
      <c r="A12" s="5" t="s">
        <v>46</v>
      </c>
      <c r="B12" t="s">
        <v>47</v>
      </c>
      <c r="C12" t="s">
        <v>35</v>
      </c>
      <c r="D12" t="s">
        <v>24</v>
      </c>
      <c r="E12" t="s">
        <v>25</v>
      </c>
      <c r="F12" t="s">
        <v>24</v>
      </c>
      <c r="G12" s="7">
        <v>8</v>
      </c>
      <c r="H12" s="1">
        <v>750.86</v>
      </c>
      <c r="I12" t="s">
        <v>15</v>
      </c>
      <c r="J12" s="1">
        <v>6006.88</v>
      </c>
    </row>
    <row r="13" spans="1:10" x14ac:dyDescent="0.35">
      <c r="A13" s="5" t="s">
        <v>48</v>
      </c>
      <c r="B13" t="s">
        <v>49</v>
      </c>
      <c r="C13" t="s">
        <v>12</v>
      </c>
      <c r="D13" t="s">
        <v>13</v>
      </c>
      <c r="E13" t="s">
        <v>14</v>
      </c>
      <c r="F13" t="s">
        <v>13</v>
      </c>
      <c r="G13" s="7">
        <v>1</v>
      </c>
      <c r="H13" s="1">
        <v>55636.02</v>
      </c>
      <c r="I13" t="s">
        <v>41</v>
      </c>
      <c r="J13" s="1">
        <v>55636.02</v>
      </c>
    </row>
    <row r="14" spans="1:10" x14ac:dyDescent="0.35">
      <c r="A14" s="5" t="s">
        <v>50</v>
      </c>
      <c r="B14" t="s">
        <v>51</v>
      </c>
      <c r="C14" t="s">
        <v>28</v>
      </c>
      <c r="D14" t="s">
        <v>13</v>
      </c>
      <c r="E14" t="s">
        <v>29</v>
      </c>
      <c r="F14" t="s">
        <v>13</v>
      </c>
      <c r="G14" s="7">
        <v>6</v>
      </c>
      <c r="H14" s="1">
        <v>25679.31</v>
      </c>
      <c r="I14" t="s">
        <v>30</v>
      </c>
      <c r="J14" s="1">
        <v>154075.85999999999</v>
      </c>
    </row>
    <row r="15" spans="1:10" x14ac:dyDescent="0.35">
      <c r="A15" s="5" t="s">
        <v>52</v>
      </c>
      <c r="B15" t="s">
        <v>53</v>
      </c>
      <c r="C15" t="s">
        <v>28</v>
      </c>
      <c r="D15" t="s">
        <v>13</v>
      </c>
      <c r="E15" t="s">
        <v>29</v>
      </c>
      <c r="F15" t="s">
        <v>13</v>
      </c>
      <c r="G15" s="7">
        <v>7</v>
      </c>
      <c r="H15" s="1">
        <v>27124.7</v>
      </c>
      <c r="I15" t="s">
        <v>21</v>
      </c>
      <c r="J15" s="1">
        <v>189872.9</v>
      </c>
    </row>
    <row r="16" spans="1:10" x14ac:dyDescent="0.35">
      <c r="A16" s="5" t="s">
        <v>54</v>
      </c>
      <c r="B16" t="s">
        <v>55</v>
      </c>
      <c r="C16" t="s">
        <v>56</v>
      </c>
      <c r="D16" t="s">
        <v>13</v>
      </c>
      <c r="E16" t="s">
        <v>14</v>
      </c>
      <c r="F16" t="s">
        <v>13</v>
      </c>
      <c r="G16" s="7">
        <v>5</v>
      </c>
      <c r="H16" s="1">
        <v>53956.7</v>
      </c>
      <c r="I16" t="s">
        <v>41</v>
      </c>
      <c r="J16" s="1">
        <v>269783.5</v>
      </c>
    </row>
    <row r="17" spans="1:10" x14ac:dyDescent="0.35">
      <c r="A17" s="5" t="s">
        <v>57</v>
      </c>
      <c r="B17" t="s">
        <v>58</v>
      </c>
      <c r="C17" t="s">
        <v>35</v>
      </c>
      <c r="D17" t="s">
        <v>59</v>
      </c>
      <c r="E17" t="s">
        <v>60</v>
      </c>
      <c r="F17" t="s">
        <v>59</v>
      </c>
      <c r="G17" s="7">
        <v>10</v>
      </c>
      <c r="H17" s="1">
        <v>1457.5</v>
      </c>
      <c r="I17" t="s">
        <v>41</v>
      </c>
      <c r="J17" s="1">
        <v>14575</v>
      </c>
    </row>
    <row r="18" spans="1:10" x14ac:dyDescent="0.35">
      <c r="A18" s="5" t="s">
        <v>61</v>
      </c>
      <c r="B18" t="s">
        <v>62</v>
      </c>
      <c r="C18" t="s">
        <v>12</v>
      </c>
      <c r="D18" t="s">
        <v>13</v>
      </c>
      <c r="E18" t="s">
        <v>14</v>
      </c>
      <c r="F18" t="s">
        <v>13</v>
      </c>
      <c r="G18" s="7">
        <v>3</v>
      </c>
      <c r="H18" s="1">
        <v>58590.38</v>
      </c>
      <c r="I18" t="s">
        <v>15</v>
      </c>
      <c r="J18" s="1">
        <v>175771.14</v>
      </c>
    </row>
    <row r="19" spans="1:10" x14ac:dyDescent="0.35">
      <c r="A19" s="5" t="s">
        <v>63</v>
      </c>
      <c r="B19" t="s">
        <v>64</v>
      </c>
      <c r="C19" t="s">
        <v>28</v>
      </c>
      <c r="D19" t="s">
        <v>13</v>
      </c>
      <c r="E19" t="s">
        <v>29</v>
      </c>
      <c r="F19" t="s">
        <v>13</v>
      </c>
      <c r="G19" s="7">
        <v>1</v>
      </c>
      <c r="H19" s="1">
        <v>24849.27</v>
      </c>
      <c r="I19" t="s">
        <v>30</v>
      </c>
      <c r="J19" s="1">
        <v>24849.27</v>
      </c>
    </row>
    <row r="20" spans="1:10" x14ac:dyDescent="0.35">
      <c r="A20" s="5" t="s">
        <v>65</v>
      </c>
      <c r="B20" t="s">
        <v>66</v>
      </c>
      <c r="C20" t="s">
        <v>28</v>
      </c>
      <c r="D20" t="s">
        <v>13</v>
      </c>
      <c r="E20" t="s">
        <v>29</v>
      </c>
      <c r="F20" t="s">
        <v>13</v>
      </c>
      <c r="G20" s="7">
        <v>4</v>
      </c>
      <c r="H20" s="1">
        <v>23928.85</v>
      </c>
      <c r="I20" t="s">
        <v>21</v>
      </c>
      <c r="J20" s="1">
        <v>95715.4</v>
      </c>
    </row>
    <row r="21" spans="1:10" x14ac:dyDescent="0.35">
      <c r="A21" s="5" t="s">
        <v>67</v>
      </c>
      <c r="B21" t="s">
        <v>68</v>
      </c>
      <c r="C21" t="s">
        <v>12</v>
      </c>
      <c r="D21" t="s">
        <v>24</v>
      </c>
      <c r="E21" t="s">
        <v>25</v>
      </c>
      <c r="F21" t="s">
        <v>24</v>
      </c>
      <c r="G21" s="7">
        <v>8</v>
      </c>
      <c r="H21" s="1">
        <v>754.38</v>
      </c>
      <c r="I21" t="s">
        <v>21</v>
      </c>
      <c r="J21" s="1">
        <v>6035.04</v>
      </c>
    </row>
    <row r="22" spans="1:10" x14ac:dyDescent="0.35">
      <c r="A22" s="5" t="s">
        <v>69</v>
      </c>
      <c r="B22" t="s">
        <v>70</v>
      </c>
      <c r="C22" t="s">
        <v>71</v>
      </c>
      <c r="D22" t="s">
        <v>24</v>
      </c>
      <c r="E22" t="s">
        <v>25</v>
      </c>
      <c r="F22" t="s">
        <v>24</v>
      </c>
      <c r="G22" s="7">
        <v>6</v>
      </c>
      <c r="H22" s="1">
        <v>763.57</v>
      </c>
      <c r="I22" t="s">
        <v>41</v>
      </c>
      <c r="J22" s="1">
        <v>4581.42</v>
      </c>
    </row>
    <row r="23" spans="1:10" x14ac:dyDescent="0.35">
      <c r="A23" s="5" t="s">
        <v>67</v>
      </c>
      <c r="B23" t="s">
        <v>72</v>
      </c>
      <c r="C23" t="s">
        <v>35</v>
      </c>
      <c r="D23" t="s">
        <v>13</v>
      </c>
      <c r="E23" t="s">
        <v>14</v>
      </c>
      <c r="F23" t="s">
        <v>13</v>
      </c>
      <c r="G23" s="7">
        <v>1</v>
      </c>
      <c r="H23" s="1">
        <v>50674.82</v>
      </c>
      <c r="I23" t="s">
        <v>41</v>
      </c>
      <c r="J23" s="1">
        <v>50674.82</v>
      </c>
    </row>
    <row r="24" spans="1:10" x14ac:dyDescent="0.35">
      <c r="A24" s="5" t="s">
        <v>73</v>
      </c>
      <c r="B24" t="s">
        <v>74</v>
      </c>
      <c r="C24" t="s">
        <v>35</v>
      </c>
      <c r="D24" t="s">
        <v>19</v>
      </c>
      <c r="E24" t="s">
        <v>36</v>
      </c>
      <c r="F24" t="s">
        <v>19</v>
      </c>
      <c r="G24" s="7">
        <v>3</v>
      </c>
      <c r="H24" s="1">
        <v>11244.22</v>
      </c>
      <c r="I24" t="s">
        <v>21</v>
      </c>
      <c r="J24" s="1">
        <v>33732.660000000003</v>
      </c>
    </row>
    <row r="25" spans="1:10" x14ac:dyDescent="0.35">
      <c r="A25" s="5" t="s">
        <v>75</v>
      </c>
      <c r="B25" t="s">
        <v>76</v>
      </c>
      <c r="C25" t="s">
        <v>12</v>
      </c>
      <c r="D25" t="s">
        <v>19</v>
      </c>
      <c r="E25" t="s">
        <v>36</v>
      </c>
      <c r="F25" t="s">
        <v>19</v>
      </c>
      <c r="G25" s="7">
        <v>2</v>
      </c>
      <c r="H25" s="1">
        <v>12824.32</v>
      </c>
      <c r="I25" t="s">
        <v>30</v>
      </c>
      <c r="J25" s="1">
        <v>25648.639999999999</v>
      </c>
    </row>
    <row r="26" spans="1:10" x14ac:dyDescent="0.35">
      <c r="A26" s="5" t="s">
        <v>77</v>
      </c>
      <c r="B26" t="s">
        <v>78</v>
      </c>
      <c r="C26" t="s">
        <v>71</v>
      </c>
      <c r="D26" t="s">
        <v>24</v>
      </c>
      <c r="E26" t="s">
        <v>25</v>
      </c>
      <c r="F26" t="s">
        <v>24</v>
      </c>
      <c r="G26" s="7">
        <v>9</v>
      </c>
      <c r="H26" s="1">
        <v>730.64</v>
      </c>
      <c r="I26" t="s">
        <v>15</v>
      </c>
      <c r="J26" s="1">
        <v>6575.76</v>
      </c>
    </row>
    <row r="27" spans="1:10" x14ac:dyDescent="0.35">
      <c r="A27" s="5" t="s">
        <v>79</v>
      </c>
      <c r="B27" t="s">
        <v>80</v>
      </c>
      <c r="C27" t="s">
        <v>56</v>
      </c>
      <c r="D27" t="s">
        <v>24</v>
      </c>
      <c r="E27" t="s">
        <v>25</v>
      </c>
      <c r="F27" t="s">
        <v>24</v>
      </c>
      <c r="G27" s="7">
        <v>9</v>
      </c>
      <c r="H27" s="1">
        <v>734.01</v>
      </c>
      <c r="I27" t="s">
        <v>15</v>
      </c>
      <c r="J27" s="1">
        <v>6606.09</v>
      </c>
    </row>
    <row r="28" spans="1:10" x14ac:dyDescent="0.35">
      <c r="A28" s="5" t="s">
        <v>65</v>
      </c>
      <c r="B28" t="s">
        <v>81</v>
      </c>
      <c r="C28" t="s">
        <v>71</v>
      </c>
      <c r="D28" t="s">
        <v>13</v>
      </c>
      <c r="E28" t="s">
        <v>29</v>
      </c>
      <c r="F28" t="s">
        <v>13</v>
      </c>
      <c r="G28" s="7">
        <v>10</v>
      </c>
      <c r="H28" s="1">
        <v>27372.57</v>
      </c>
      <c r="I28" t="s">
        <v>15</v>
      </c>
      <c r="J28" s="1">
        <v>273725.7</v>
      </c>
    </row>
    <row r="29" spans="1:10" x14ac:dyDescent="0.35">
      <c r="A29" s="5" t="s">
        <v>33</v>
      </c>
      <c r="B29" t="s">
        <v>82</v>
      </c>
      <c r="C29" t="s">
        <v>28</v>
      </c>
      <c r="D29" t="s">
        <v>13</v>
      </c>
      <c r="E29" t="s">
        <v>29</v>
      </c>
      <c r="F29" t="s">
        <v>13</v>
      </c>
      <c r="G29" s="7">
        <v>5</v>
      </c>
      <c r="H29" s="1">
        <v>24521.33</v>
      </c>
      <c r="I29" t="s">
        <v>15</v>
      </c>
      <c r="J29" s="1">
        <v>122606.65</v>
      </c>
    </row>
    <row r="30" spans="1:10" x14ac:dyDescent="0.35">
      <c r="A30" s="5" t="s">
        <v>83</v>
      </c>
      <c r="B30" t="s">
        <v>84</v>
      </c>
      <c r="C30" t="s">
        <v>71</v>
      </c>
      <c r="D30" t="s">
        <v>59</v>
      </c>
      <c r="E30" t="s">
        <v>60</v>
      </c>
      <c r="F30" t="s">
        <v>59</v>
      </c>
      <c r="G30" s="7">
        <v>1</v>
      </c>
      <c r="H30" s="1">
        <v>1428.3</v>
      </c>
      <c r="I30" t="s">
        <v>21</v>
      </c>
      <c r="J30" s="1">
        <v>1428.3</v>
      </c>
    </row>
    <row r="31" spans="1:10" x14ac:dyDescent="0.35">
      <c r="A31" s="5" t="s">
        <v>85</v>
      </c>
      <c r="B31" t="s">
        <v>86</v>
      </c>
      <c r="C31" t="s">
        <v>12</v>
      </c>
      <c r="D31" t="s">
        <v>19</v>
      </c>
      <c r="E31" t="s">
        <v>20</v>
      </c>
      <c r="F31" t="s">
        <v>19</v>
      </c>
      <c r="G31" s="7">
        <v>4</v>
      </c>
      <c r="H31" s="1">
        <v>31807.69</v>
      </c>
      <c r="I31" t="s">
        <v>30</v>
      </c>
      <c r="J31" s="1">
        <v>127230.76</v>
      </c>
    </row>
    <row r="32" spans="1:10" x14ac:dyDescent="0.35">
      <c r="A32" s="5" t="s">
        <v>87</v>
      </c>
      <c r="B32" t="s">
        <v>88</v>
      </c>
      <c r="C32" t="s">
        <v>12</v>
      </c>
      <c r="D32" t="s">
        <v>19</v>
      </c>
      <c r="E32" t="s">
        <v>20</v>
      </c>
      <c r="F32" t="s">
        <v>19</v>
      </c>
      <c r="G32" s="7">
        <v>3</v>
      </c>
      <c r="H32" s="1">
        <v>31955.42</v>
      </c>
      <c r="I32" t="s">
        <v>21</v>
      </c>
      <c r="J32" s="1">
        <v>95866.26</v>
      </c>
    </row>
    <row r="33" spans="1:10" x14ac:dyDescent="0.35">
      <c r="A33" s="5" t="s">
        <v>89</v>
      </c>
      <c r="B33" t="s">
        <v>90</v>
      </c>
      <c r="C33" t="s">
        <v>35</v>
      </c>
      <c r="D33" t="s">
        <v>19</v>
      </c>
      <c r="E33" t="s">
        <v>20</v>
      </c>
      <c r="F33" t="s">
        <v>19</v>
      </c>
      <c r="G33" s="7">
        <v>9</v>
      </c>
      <c r="H33" s="1">
        <v>32802.089999999997</v>
      </c>
      <c r="I33" t="s">
        <v>21</v>
      </c>
      <c r="J33" s="1">
        <v>295218.81</v>
      </c>
    </row>
    <row r="34" spans="1:10" x14ac:dyDescent="0.35">
      <c r="A34" s="5" t="s">
        <v>91</v>
      </c>
      <c r="B34" t="s">
        <v>92</v>
      </c>
      <c r="C34" t="s">
        <v>18</v>
      </c>
      <c r="D34" t="s">
        <v>13</v>
      </c>
      <c r="E34" t="s">
        <v>14</v>
      </c>
      <c r="F34" t="s">
        <v>13</v>
      </c>
      <c r="G34" s="7">
        <v>5</v>
      </c>
      <c r="H34" s="1">
        <v>52686.75</v>
      </c>
      <c r="I34" t="s">
        <v>21</v>
      </c>
      <c r="J34" s="1">
        <v>263433.75</v>
      </c>
    </row>
    <row r="35" spans="1:10" x14ac:dyDescent="0.35">
      <c r="A35" s="5" t="s">
        <v>93</v>
      </c>
      <c r="B35" t="s">
        <v>94</v>
      </c>
      <c r="C35" t="s">
        <v>12</v>
      </c>
      <c r="D35" t="s">
        <v>59</v>
      </c>
      <c r="E35" t="s">
        <v>60</v>
      </c>
      <c r="F35" t="s">
        <v>59</v>
      </c>
      <c r="G35" s="7">
        <v>2</v>
      </c>
      <c r="H35" s="1">
        <v>1470.21</v>
      </c>
      <c r="I35" t="s">
        <v>21</v>
      </c>
      <c r="J35" s="1">
        <v>2940.42</v>
      </c>
    </row>
    <row r="36" spans="1:10" x14ac:dyDescent="0.35">
      <c r="A36" s="5" t="s">
        <v>95</v>
      </c>
      <c r="B36" t="s">
        <v>96</v>
      </c>
      <c r="C36" t="s">
        <v>35</v>
      </c>
      <c r="D36" t="s">
        <v>19</v>
      </c>
      <c r="E36" t="s">
        <v>36</v>
      </c>
      <c r="F36" t="s">
        <v>19</v>
      </c>
      <c r="G36" s="7">
        <v>9</v>
      </c>
      <c r="H36" s="1">
        <v>12471.43</v>
      </c>
      <c r="I36" t="s">
        <v>41</v>
      </c>
      <c r="J36" s="1">
        <v>112242.87</v>
      </c>
    </row>
    <row r="37" spans="1:10" x14ac:dyDescent="0.35">
      <c r="A37" s="5" t="s">
        <v>31</v>
      </c>
      <c r="B37" t="s">
        <v>97</v>
      </c>
      <c r="C37" t="s">
        <v>56</v>
      </c>
      <c r="D37" t="s">
        <v>19</v>
      </c>
      <c r="E37" t="s">
        <v>20</v>
      </c>
      <c r="F37" t="s">
        <v>19</v>
      </c>
      <c r="G37" s="7">
        <v>1</v>
      </c>
      <c r="H37" s="1">
        <v>32691.1</v>
      </c>
      <c r="I37" t="s">
        <v>15</v>
      </c>
      <c r="J37" s="1">
        <v>32691.1</v>
      </c>
    </row>
    <row r="38" spans="1:10" x14ac:dyDescent="0.35">
      <c r="A38" s="5" t="s">
        <v>98</v>
      </c>
      <c r="B38" t="s">
        <v>99</v>
      </c>
      <c r="C38" t="s">
        <v>35</v>
      </c>
      <c r="D38" t="s">
        <v>59</v>
      </c>
      <c r="E38" t="s">
        <v>60</v>
      </c>
      <c r="F38" t="s">
        <v>59</v>
      </c>
      <c r="G38" s="7">
        <v>2</v>
      </c>
      <c r="H38" s="1">
        <v>1350.76</v>
      </c>
      <c r="I38" t="s">
        <v>15</v>
      </c>
      <c r="J38" s="1">
        <v>2701.52</v>
      </c>
    </row>
    <row r="39" spans="1:10" x14ac:dyDescent="0.35">
      <c r="A39" s="5" t="s">
        <v>100</v>
      </c>
      <c r="B39" t="s">
        <v>101</v>
      </c>
      <c r="C39" t="s">
        <v>56</v>
      </c>
      <c r="D39" t="s">
        <v>24</v>
      </c>
      <c r="E39" t="s">
        <v>25</v>
      </c>
      <c r="F39" t="s">
        <v>24</v>
      </c>
      <c r="G39" s="7">
        <v>10</v>
      </c>
      <c r="H39" s="1">
        <v>864.53</v>
      </c>
      <c r="I39" t="s">
        <v>15</v>
      </c>
      <c r="J39" s="1">
        <v>8645.2999999999993</v>
      </c>
    </row>
    <row r="40" spans="1:10" x14ac:dyDescent="0.35">
      <c r="A40" s="5" t="s">
        <v>102</v>
      </c>
      <c r="B40" t="s">
        <v>103</v>
      </c>
      <c r="C40" t="s">
        <v>35</v>
      </c>
      <c r="D40" t="s">
        <v>19</v>
      </c>
      <c r="E40" t="s">
        <v>36</v>
      </c>
      <c r="F40" t="s">
        <v>19</v>
      </c>
      <c r="G40" s="7">
        <v>6</v>
      </c>
      <c r="H40" s="1">
        <v>11222.69</v>
      </c>
      <c r="I40" t="s">
        <v>30</v>
      </c>
      <c r="J40" s="1">
        <v>67336.14</v>
      </c>
    </row>
    <row r="41" spans="1:10" x14ac:dyDescent="0.35">
      <c r="A41" s="5" t="s">
        <v>93</v>
      </c>
      <c r="B41" t="s">
        <v>104</v>
      </c>
      <c r="C41" t="s">
        <v>28</v>
      </c>
      <c r="D41" t="s">
        <v>24</v>
      </c>
      <c r="E41" t="s">
        <v>25</v>
      </c>
      <c r="F41" t="s">
        <v>24</v>
      </c>
      <c r="G41" s="7">
        <v>3</v>
      </c>
      <c r="H41" s="1">
        <v>868.16</v>
      </c>
      <c r="I41" t="s">
        <v>30</v>
      </c>
      <c r="J41" s="1">
        <v>2604.48</v>
      </c>
    </row>
    <row r="42" spans="1:10" x14ac:dyDescent="0.35">
      <c r="A42" s="5" t="s">
        <v>105</v>
      </c>
      <c r="B42" t="s">
        <v>106</v>
      </c>
      <c r="C42" t="s">
        <v>28</v>
      </c>
      <c r="D42" t="s">
        <v>19</v>
      </c>
      <c r="E42" t="s">
        <v>20</v>
      </c>
      <c r="F42" t="s">
        <v>19</v>
      </c>
      <c r="G42" s="7">
        <v>2</v>
      </c>
      <c r="H42" s="1">
        <v>29701.73</v>
      </c>
      <c r="I42" t="s">
        <v>21</v>
      </c>
      <c r="J42" s="1">
        <v>59403.46</v>
      </c>
    </row>
    <row r="43" spans="1:10" x14ac:dyDescent="0.35">
      <c r="A43" s="5" t="s">
        <v>77</v>
      </c>
      <c r="B43" t="s">
        <v>107</v>
      </c>
      <c r="C43" t="s">
        <v>28</v>
      </c>
      <c r="D43" t="s">
        <v>59</v>
      </c>
      <c r="E43" t="s">
        <v>60</v>
      </c>
      <c r="F43" t="s">
        <v>59</v>
      </c>
      <c r="G43" s="7">
        <v>9</v>
      </c>
      <c r="H43" s="1">
        <v>1580.5</v>
      </c>
      <c r="I43" t="s">
        <v>30</v>
      </c>
      <c r="J43" s="1">
        <v>14224.5</v>
      </c>
    </row>
    <row r="44" spans="1:10" x14ac:dyDescent="0.35">
      <c r="A44" s="5" t="s">
        <v>108</v>
      </c>
      <c r="B44" t="s">
        <v>109</v>
      </c>
      <c r="C44" t="s">
        <v>18</v>
      </c>
      <c r="D44" t="s">
        <v>13</v>
      </c>
      <c r="E44" t="s">
        <v>14</v>
      </c>
      <c r="F44" t="s">
        <v>13</v>
      </c>
      <c r="G44" s="7">
        <v>2</v>
      </c>
      <c r="H44" s="1">
        <v>55846.09</v>
      </c>
      <c r="I44" t="s">
        <v>30</v>
      </c>
      <c r="J44" s="1">
        <v>111692.18</v>
      </c>
    </row>
    <row r="45" spans="1:10" x14ac:dyDescent="0.35">
      <c r="A45" s="5" t="s">
        <v>110</v>
      </c>
      <c r="B45" t="s">
        <v>111</v>
      </c>
      <c r="C45" t="s">
        <v>56</v>
      </c>
      <c r="D45" t="s">
        <v>13</v>
      </c>
      <c r="E45" t="s">
        <v>29</v>
      </c>
      <c r="F45" t="s">
        <v>13</v>
      </c>
      <c r="G45" s="7">
        <v>1</v>
      </c>
      <c r="H45" s="1">
        <v>26092.03</v>
      </c>
      <c r="I45" t="s">
        <v>41</v>
      </c>
      <c r="J45" s="1">
        <v>26092.03</v>
      </c>
    </row>
    <row r="46" spans="1:10" x14ac:dyDescent="0.35">
      <c r="A46" s="5" t="s">
        <v>112</v>
      </c>
      <c r="B46" t="s">
        <v>113</v>
      </c>
      <c r="C46" t="s">
        <v>18</v>
      </c>
      <c r="D46" t="s">
        <v>19</v>
      </c>
      <c r="E46" t="s">
        <v>36</v>
      </c>
      <c r="F46" t="s">
        <v>19</v>
      </c>
      <c r="G46" s="7">
        <v>10</v>
      </c>
      <c r="H46" s="1">
        <v>10990.64</v>
      </c>
      <c r="I46" t="s">
        <v>21</v>
      </c>
      <c r="J46" s="1">
        <v>109906.4</v>
      </c>
    </row>
    <row r="47" spans="1:10" x14ac:dyDescent="0.35">
      <c r="A47" s="5" t="s">
        <v>69</v>
      </c>
      <c r="B47" t="s">
        <v>114</v>
      </c>
      <c r="C47" t="s">
        <v>12</v>
      </c>
      <c r="D47" t="s">
        <v>13</v>
      </c>
      <c r="E47" t="s">
        <v>14</v>
      </c>
      <c r="F47" t="s">
        <v>13</v>
      </c>
      <c r="G47" s="7">
        <v>5</v>
      </c>
      <c r="H47" s="1">
        <v>52551.57</v>
      </c>
      <c r="I47" t="s">
        <v>15</v>
      </c>
      <c r="J47" s="1">
        <v>262757.84999999998</v>
      </c>
    </row>
    <row r="48" spans="1:10" x14ac:dyDescent="0.35">
      <c r="A48" s="5" t="s">
        <v>115</v>
      </c>
      <c r="B48" t="s">
        <v>116</v>
      </c>
      <c r="C48" t="s">
        <v>56</v>
      </c>
      <c r="D48" t="s">
        <v>59</v>
      </c>
      <c r="E48" t="s">
        <v>60</v>
      </c>
      <c r="F48" t="s">
        <v>59</v>
      </c>
      <c r="G48" s="7">
        <v>10</v>
      </c>
      <c r="H48" s="1">
        <v>1412.8</v>
      </c>
      <c r="I48" t="s">
        <v>41</v>
      </c>
      <c r="J48" s="1">
        <v>14128</v>
      </c>
    </row>
    <row r="49" spans="1:10" x14ac:dyDescent="0.35">
      <c r="A49" s="5" t="s">
        <v>117</v>
      </c>
      <c r="B49" t="s">
        <v>118</v>
      </c>
      <c r="C49" t="s">
        <v>35</v>
      </c>
      <c r="D49" t="s">
        <v>19</v>
      </c>
      <c r="E49" t="s">
        <v>36</v>
      </c>
      <c r="F49" t="s">
        <v>19</v>
      </c>
      <c r="G49" s="7">
        <v>10</v>
      </c>
      <c r="H49" s="1">
        <v>11440.05</v>
      </c>
      <c r="I49" t="s">
        <v>15</v>
      </c>
      <c r="J49" s="1">
        <v>114400.5</v>
      </c>
    </row>
    <row r="50" spans="1:10" x14ac:dyDescent="0.35">
      <c r="A50" s="5" t="s">
        <v>65</v>
      </c>
      <c r="B50" t="s">
        <v>119</v>
      </c>
      <c r="C50" t="s">
        <v>28</v>
      </c>
      <c r="D50" t="s">
        <v>59</v>
      </c>
      <c r="E50" t="s">
        <v>60</v>
      </c>
      <c r="F50" t="s">
        <v>59</v>
      </c>
      <c r="G50" s="7">
        <v>3</v>
      </c>
      <c r="H50" s="1">
        <v>1508.23</v>
      </c>
      <c r="I50" t="s">
        <v>30</v>
      </c>
      <c r="J50" s="1">
        <v>4524.6899999999996</v>
      </c>
    </row>
    <row r="51" spans="1:10" x14ac:dyDescent="0.35">
      <c r="A51" s="5" t="s">
        <v>120</v>
      </c>
      <c r="B51" t="s">
        <v>121</v>
      </c>
      <c r="C51" t="s">
        <v>28</v>
      </c>
      <c r="D51" t="s">
        <v>13</v>
      </c>
      <c r="E51" t="s">
        <v>14</v>
      </c>
      <c r="F51" t="s">
        <v>13</v>
      </c>
      <c r="G51" s="7">
        <v>8</v>
      </c>
      <c r="H51" s="1">
        <v>57528.89</v>
      </c>
      <c r="I51" t="s">
        <v>30</v>
      </c>
      <c r="J51" s="1">
        <v>460231.12</v>
      </c>
    </row>
    <row r="52" spans="1:10" x14ac:dyDescent="0.35">
      <c r="A52" s="5" t="s">
        <v>122</v>
      </c>
      <c r="B52" t="s">
        <v>123</v>
      </c>
      <c r="C52" t="s">
        <v>18</v>
      </c>
      <c r="D52" t="s">
        <v>19</v>
      </c>
      <c r="E52" t="s">
        <v>20</v>
      </c>
      <c r="F52" t="s">
        <v>19</v>
      </c>
      <c r="G52" s="7">
        <v>1</v>
      </c>
      <c r="H52" s="1">
        <v>27325.759999999998</v>
      </c>
      <c r="I52" t="s">
        <v>30</v>
      </c>
      <c r="J52" s="1">
        <v>27325.759999999998</v>
      </c>
    </row>
    <row r="53" spans="1:10" x14ac:dyDescent="0.35">
      <c r="A53" s="5" t="s">
        <v>124</v>
      </c>
      <c r="B53" t="s">
        <v>125</v>
      </c>
      <c r="C53" t="s">
        <v>71</v>
      </c>
      <c r="D53" t="s">
        <v>24</v>
      </c>
      <c r="E53" t="s">
        <v>25</v>
      </c>
      <c r="F53" t="s">
        <v>24</v>
      </c>
      <c r="G53" s="7">
        <v>6</v>
      </c>
      <c r="H53" s="1">
        <v>871.53</v>
      </c>
      <c r="I53" t="s">
        <v>41</v>
      </c>
      <c r="J53" s="1">
        <v>5229.18</v>
      </c>
    </row>
    <row r="54" spans="1:10" x14ac:dyDescent="0.35">
      <c r="A54" s="5" t="s">
        <v>126</v>
      </c>
      <c r="B54" t="s">
        <v>127</v>
      </c>
      <c r="C54" t="s">
        <v>56</v>
      </c>
      <c r="D54" t="s">
        <v>13</v>
      </c>
      <c r="E54" t="s">
        <v>14</v>
      </c>
      <c r="F54" t="s">
        <v>13</v>
      </c>
      <c r="G54" s="7">
        <v>1</v>
      </c>
      <c r="H54" s="1">
        <v>59015.38</v>
      </c>
      <c r="I54" t="s">
        <v>41</v>
      </c>
      <c r="J54" s="1">
        <v>59015.38</v>
      </c>
    </row>
    <row r="55" spans="1:10" x14ac:dyDescent="0.35">
      <c r="A55" s="5" t="s">
        <v>128</v>
      </c>
      <c r="B55" t="s">
        <v>129</v>
      </c>
      <c r="C55" t="s">
        <v>28</v>
      </c>
      <c r="D55" t="s">
        <v>19</v>
      </c>
      <c r="E55" t="s">
        <v>20</v>
      </c>
      <c r="F55" t="s">
        <v>19</v>
      </c>
      <c r="G55" s="7">
        <v>9</v>
      </c>
      <c r="H55" s="1">
        <v>27648.77</v>
      </c>
      <c r="I55" t="s">
        <v>21</v>
      </c>
      <c r="J55" s="1">
        <v>248838.93</v>
      </c>
    </row>
    <row r="56" spans="1:10" x14ac:dyDescent="0.35">
      <c r="A56" s="5" t="s">
        <v>54</v>
      </c>
      <c r="B56" t="s">
        <v>130</v>
      </c>
      <c r="C56" t="s">
        <v>12</v>
      </c>
      <c r="D56" t="s">
        <v>24</v>
      </c>
      <c r="E56" t="s">
        <v>25</v>
      </c>
      <c r="F56" t="s">
        <v>24</v>
      </c>
      <c r="G56" s="7">
        <v>5</v>
      </c>
      <c r="H56" s="1">
        <v>874.63</v>
      </c>
      <c r="I56" t="s">
        <v>41</v>
      </c>
      <c r="J56" s="1">
        <v>4373.1499999999996</v>
      </c>
    </row>
    <row r="57" spans="1:10" x14ac:dyDescent="0.35">
      <c r="A57" s="5" t="s">
        <v>131</v>
      </c>
      <c r="B57" t="s">
        <v>132</v>
      </c>
      <c r="C57" t="s">
        <v>18</v>
      </c>
      <c r="D57" t="s">
        <v>13</v>
      </c>
      <c r="E57" t="s">
        <v>14</v>
      </c>
      <c r="F57" t="s">
        <v>13</v>
      </c>
      <c r="G57" s="7">
        <v>8</v>
      </c>
      <c r="H57" s="1">
        <v>50301.43</v>
      </c>
      <c r="I57" t="s">
        <v>15</v>
      </c>
      <c r="J57" s="1">
        <v>402411.44</v>
      </c>
    </row>
    <row r="58" spans="1:10" x14ac:dyDescent="0.35">
      <c r="A58" s="5" t="s">
        <v>133</v>
      </c>
      <c r="B58" t="s">
        <v>134</v>
      </c>
      <c r="C58" t="s">
        <v>71</v>
      </c>
      <c r="D58" t="s">
        <v>24</v>
      </c>
      <c r="E58" t="s">
        <v>25</v>
      </c>
      <c r="F58" t="s">
        <v>24</v>
      </c>
      <c r="G58" s="7">
        <v>6</v>
      </c>
      <c r="H58" s="1">
        <v>790.6</v>
      </c>
      <c r="I58" t="s">
        <v>15</v>
      </c>
      <c r="J58" s="1">
        <v>4743.6000000000004</v>
      </c>
    </row>
    <row r="59" spans="1:10" x14ac:dyDescent="0.35">
      <c r="A59" s="5" t="s">
        <v>39</v>
      </c>
      <c r="B59" t="s">
        <v>135</v>
      </c>
      <c r="C59" t="s">
        <v>12</v>
      </c>
      <c r="D59" t="s">
        <v>24</v>
      </c>
      <c r="E59" t="s">
        <v>25</v>
      </c>
      <c r="F59" t="s">
        <v>24</v>
      </c>
      <c r="G59" s="7">
        <v>10</v>
      </c>
      <c r="H59" s="1">
        <v>805.98</v>
      </c>
      <c r="I59" t="s">
        <v>15</v>
      </c>
      <c r="J59" s="1">
        <v>8059.8</v>
      </c>
    </row>
    <row r="60" spans="1:10" x14ac:dyDescent="0.35">
      <c r="A60" s="5" t="s">
        <v>136</v>
      </c>
      <c r="B60" t="s">
        <v>137</v>
      </c>
      <c r="C60" t="s">
        <v>18</v>
      </c>
      <c r="D60" t="s">
        <v>24</v>
      </c>
      <c r="E60" t="s">
        <v>25</v>
      </c>
      <c r="F60" t="s">
        <v>24</v>
      </c>
      <c r="G60" s="7">
        <v>8</v>
      </c>
      <c r="H60" s="1">
        <v>797.64</v>
      </c>
      <c r="I60" t="s">
        <v>41</v>
      </c>
      <c r="J60" s="1">
        <v>6381.12</v>
      </c>
    </row>
    <row r="61" spans="1:10" x14ac:dyDescent="0.35">
      <c r="A61" s="5" t="s">
        <v>112</v>
      </c>
      <c r="B61" t="s">
        <v>138</v>
      </c>
      <c r="C61" t="s">
        <v>18</v>
      </c>
      <c r="D61" t="s">
        <v>19</v>
      </c>
      <c r="E61" t="s">
        <v>36</v>
      </c>
      <c r="F61" t="s">
        <v>19</v>
      </c>
      <c r="G61" s="7">
        <v>4</v>
      </c>
      <c r="H61" s="1">
        <v>11665.31</v>
      </c>
      <c r="I61" t="s">
        <v>15</v>
      </c>
      <c r="J61" s="1">
        <v>46661.24</v>
      </c>
    </row>
    <row r="62" spans="1:10" x14ac:dyDescent="0.35">
      <c r="A62" s="5" t="s">
        <v>44</v>
      </c>
      <c r="B62" t="s">
        <v>139</v>
      </c>
      <c r="C62" t="s">
        <v>35</v>
      </c>
      <c r="D62" t="s">
        <v>13</v>
      </c>
      <c r="E62" t="s">
        <v>29</v>
      </c>
      <c r="F62" t="s">
        <v>13</v>
      </c>
      <c r="G62" s="7">
        <v>7</v>
      </c>
      <c r="H62" s="1">
        <v>26922.54</v>
      </c>
      <c r="I62" t="s">
        <v>15</v>
      </c>
      <c r="J62" s="1">
        <v>188457.78</v>
      </c>
    </row>
    <row r="63" spans="1:10" x14ac:dyDescent="0.35">
      <c r="A63" s="5" t="s">
        <v>140</v>
      </c>
      <c r="B63" t="s">
        <v>141</v>
      </c>
      <c r="C63" t="s">
        <v>35</v>
      </c>
      <c r="D63" t="s">
        <v>59</v>
      </c>
      <c r="E63" t="s">
        <v>60</v>
      </c>
      <c r="F63" t="s">
        <v>59</v>
      </c>
      <c r="G63" s="7">
        <v>6</v>
      </c>
      <c r="H63" s="1">
        <v>1476.42</v>
      </c>
      <c r="I63" t="s">
        <v>41</v>
      </c>
      <c r="J63" s="1">
        <v>8858.52</v>
      </c>
    </row>
    <row r="64" spans="1:10" x14ac:dyDescent="0.35">
      <c r="A64" s="5" t="s">
        <v>122</v>
      </c>
      <c r="B64" t="s">
        <v>142</v>
      </c>
      <c r="C64" t="s">
        <v>56</v>
      </c>
      <c r="D64" t="s">
        <v>13</v>
      </c>
      <c r="E64" t="s">
        <v>14</v>
      </c>
      <c r="F64" t="s">
        <v>13</v>
      </c>
      <c r="G64" s="7">
        <v>3</v>
      </c>
      <c r="H64" s="1">
        <v>56625.7</v>
      </c>
      <c r="I64" t="s">
        <v>21</v>
      </c>
      <c r="J64" s="1">
        <v>169877.1</v>
      </c>
    </row>
    <row r="65" spans="1:10" x14ac:dyDescent="0.35">
      <c r="A65" s="5" t="s">
        <v>69</v>
      </c>
      <c r="B65" t="s">
        <v>143</v>
      </c>
      <c r="C65" t="s">
        <v>71</v>
      </c>
      <c r="D65" t="s">
        <v>59</v>
      </c>
      <c r="E65" t="s">
        <v>60</v>
      </c>
      <c r="F65" t="s">
        <v>59</v>
      </c>
      <c r="G65" s="7">
        <v>2</v>
      </c>
      <c r="H65" s="1">
        <v>1439.57</v>
      </c>
      <c r="I65" t="s">
        <v>15</v>
      </c>
      <c r="J65" s="1">
        <v>2879.14</v>
      </c>
    </row>
    <row r="66" spans="1:10" x14ac:dyDescent="0.35">
      <c r="A66" s="5" t="s">
        <v>144</v>
      </c>
      <c r="B66" t="s">
        <v>145</v>
      </c>
      <c r="C66" t="s">
        <v>35</v>
      </c>
      <c r="D66" t="s">
        <v>19</v>
      </c>
      <c r="E66" t="s">
        <v>36</v>
      </c>
      <c r="F66" t="s">
        <v>19</v>
      </c>
      <c r="G66" s="7">
        <v>10</v>
      </c>
      <c r="H66" s="1">
        <v>12810.61</v>
      </c>
      <c r="I66" t="s">
        <v>21</v>
      </c>
      <c r="J66" s="1">
        <v>128106.1</v>
      </c>
    </row>
    <row r="67" spans="1:10" x14ac:dyDescent="0.35">
      <c r="A67" s="5" t="s">
        <v>146</v>
      </c>
      <c r="B67" t="s">
        <v>147</v>
      </c>
      <c r="C67" t="s">
        <v>12</v>
      </c>
      <c r="D67" t="s">
        <v>13</v>
      </c>
      <c r="E67" t="s">
        <v>14</v>
      </c>
      <c r="F67" t="s">
        <v>13</v>
      </c>
      <c r="G67" s="7">
        <v>8</v>
      </c>
      <c r="H67" s="1">
        <v>57665.65</v>
      </c>
      <c r="I67" t="s">
        <v>15</v>
      </c>
      <c r="J67" s="1">
        <v>461325.2</v>
      </c>
    </row>
    <row r="68" spans="1:10" x14ac:dyDescent="0.35">
      <c r="A68" s="5" t="s">
        <v>148</v>
      </c>
      <c r="B68" t="s">
        <v>149</v>
      </c>
      <c r="C68" t="s">
        <v>28</v>
      </c>
      <c r="D68" t="s">
        <v>19</v>
      </c>
      <c r="E68" t="s">
        <v>36</v>
      </c>
      <c r="F68" t="s">
        <v>19</v>
      </c>
      <c r="G68" s="7">
        <v>3</v>
      </c>
      <c r="H68" s="1">
        <v>11557.54</v>
      </c>
      <c r="I68" t="s">
        <v>21</v>
      </c>
      <c r="J68" s="1">
        <v>34672.620000000003</v>
      </c>
    </row>
    <row r="69" spans="1:10" x14ac:dyDescent="0.35">
      <c r="A69" s="5" t="s">
        <v>150</v>
      </c>
      <c r="B69" t="s">
        <v>151</v>
      </c>
      <c r="C69" t="s">
        <v>56</v>
      </c>
      <c r="D69" t="s">
        <v>19</v>
      </c>
      <c r="E69" t="s">
        <v>20</v>
      </c>
      <c r="F69" t="s">
        <v>19</v>
      </c>
      <c r="G69" s="7">
        <v>6</v>
      </c>
      <c r="H69" s="1">
        <v>29749.38</v>
      </c>
      <c r="I69" t="s">
        <v>21</v>
      </c>
      <c r="J69" s="1">
        <v>178496.28</v>
      </c>
    </row>
    <row r="70" spans="1:10" x14ac:dyDescent="0.35">
      <c r="A70" s="5" t="s">
        <v>83</v>
      </c>
      <c r="B70" t="s">
        <v>152</v>
      </c>
      <c r="C70" t="s">
        <v>28</v>
      </c>
      <c r="D70" t="s">
        <v>13</v>
      </c>
      <c r="E70" t="s">
        <v>14</v>
      </c>
      <c r="F70" t="s">
        <v>13</v>
      </c>
      <c r="G70" s="7">
        <v>2</v>
      </c>
      <c r="H70" s="1">
        <v>52442.47</v>
      </c>
      <c r="I70" t="s">
        <v>30</v>
      </c>
      <c r="J70" s="1">
        <v>104884.94</v>
      </c>
    </row>
    <row r="71" spans="1:10" x14ac:dyDescent="0.35">
      <c r="A71" s="5" t="s">
        <v>133</v>
      </c>
      <c r="B71" t="s">
        <v>153</v>
      </c>
      <c r="C71" t="s">
        <v>56</v>
      </c>
      <c r="D71" t="s">
        <v>13</v>
      </c>
      <c r="E71" t="s">
        <v>29</v>
      </c>
      <c r="F71" t="s">
        <v>13</v>
      </c>
      <c r="G71" s="7">
        <v>8</v>
      </c>
      <c r="H71" s="1">
        <v>26662.2</v>
      </c>
      <c r="I71" t="s">
        <v>30</v>
      </c>
      <c r="J71" s="1">
        <v>213297.6</v>
      </c>
    </row>
    <row r="72" spans="1:10" x14ac:dyDescent="0.35">
      <c r="A72" s="5" t="s">
        <v>108</v>
      </c>
      <c r="B72" t="s">
        <v>154</v>
      </c>
      <c r="C72" t="s">
        <v>18</v>
      </c>
      <c r="D72" t="s">
        <v>19</v>
      </c>
      <c r="E72" t="s">
        <v>20</v>
      </c>
      <c r="F72" t="s">
        <v>19</v>
      </c>
      <c r="G72" s="7">
        <v>2</v>
      </c>
      <c r="H72" s="1">
        <v>31584.15</v>
      </c>
      <c r="I72" t="s">
        <v>21</v>
      </c>
      <c r="J72" s="1">
        <v>63168.3</v>
      </c>
    </row>
    <row r="73" spans="1:10" x14ac:dyDescent="0.35">
      <c r="A73" s="5" t="s">
        <v>155</v>
      </c>
      <c r="B73" t="s">
        <v>156</v>
      </c>
      <c r="C73" t="s">
        <v>18</v>
      </c>
      <c r="D73" t="s">
        <v>59</v>
      </c>
      <c r="E73" t="s">
        <v>60</v>
      </c>
      <c r="F73" t="s">
        <v>59</v>
      </c>
      <c r="G73" s="7">
        <v>6</v>
      </c>
      <c r="H73" s="1">
        <v>1446.42</v>
      </c>
      <c r="I73" t="s">
        <v>15</v>
      </c>
      <c r="J73" s="1">
        <v>8678.52</v>
      </c>
    </row>
    <row r="74" spans="1:10" x14ac:dyDescent="0.35">
      <c r="A74" s="5" t="s">
        <v>157</v>
      </c>
      <c r="B74" t="s">
        <v>158</v>
      </c>
      <c r="C74" t="s">
        <v>71</v>
      </c>
      <c r="D74" t="s">
        <v>59</v>
      </c>
      <c r="E74" t="s">
        <v>60</v>
      </c>
      <c r="F74" t="s">
        <v>59</v>
      </c>
      <c r="G74" s="7">
        <v>6</v>
      </c>
      <c r="H74" s="1">
        <v>1416.6</v>
      </c>
      <c r="I74" t="s">
        <v>41</v>
      </c>
      <c r="J74" s="1">
        <v>8499.6</v>
      </c>
    </row>
    <row r="75" spans="1:10" x14ac:dyDescent="0.35">
      <c r="A75" s="5" t="s">
        <v>50</v>
      </c>
      <c r="B75" t="s">
        <v>159</v>
      </c>
      <c r="C75" t="s">
        <v>28</v>
      </c>
      <c r="D75" t="s">
        <v>24</v>
      </c>
      <c r="E75" t="s">
        <v>25</v>
      </c>
      <c r="F75" t="s">
        <v>24</v>
      </c>
      <c r="G75" s="7">
        <v>7</v>
      </c>
      <c r="H75" s="1">
        <v>865.46</v>
      </c>
      <c r="I75" t="s">
        <v>15</v>
      </c>
      <c r="J75" s="1">
        <v>6058.22</v>
      </c>
    </row>
    <row r="76" spans="1:10" x14ac:dyDescent="0.35">
      <c r="A76" s="5" t="s">
        <v>160</v>
      </c>
      <c r="B76" t="s">
        <v>161</v>
      </c>
      <c r="C76" t="s">
        <v>28</v>
      </c>
      <c r="D76" t="s">
        <v>13</v>
      </c>
      <c r="E76" t="s">
        <v>29</v>
      </c>
      <c r="F76" t="s">
        <v>13</v>
      </c>
      <c r="G76" s="7">
        <v>5</v>
      </c>
      <c r="H76" s="1">
        <v>25206.52</v>
      </c>
      <c r="I76" t="s">
        <v>15</v>
      </c>
      <c r="J76" s="1">
        <v>126032.6</v>
      </c>
    </row>
    <row r="77" spans="1:10" x14ac:dyDescent="0.35">
      <c r="A77" s="5" t="s">
        <v>162</v>
      </c>
      <c r="B77" t="s">
        <v>163</v>
      </c>
      <c r="C77" t="s">
        <v>71</v>
      </c>
      <c r="D77" t="s">
        <v>13</v>
      </c>
      <c r="E77" t="s">
        <v>14</v>
      </c>
      <c r="F77" t="s">
        <v>13</v>
      </c>
      <c r="G77" s="7">
        <v>10</v>
      </c>
      <c r="H77" s="1">
        <v>50243.72</v>
      </c>
      <c r="I77" t="s">
        <v>15</v>
      </c>
      <c r="J77" s="1">
        <v>502437.2</v>
      </c>
    </row>
    <row r="78" spans="1:10" x14ac:dyDescent="0.35">
      <c r="A78" s="5" t="s">
        <v>164</v>
      </c>
      <c r="B78" t="s">
        <v>165</v>
      </c>
      <c r="C78" t="s">
        <v>56</v>
      </c>
      <c r="D78" t="s">
        <v>19</v>
      </c>
      <c r="E78" t="s">
        <v>20</v>
      </c>
      <c r="F78" t="s">
        <v>19</v>
      </c>
      <c r="G78" s="7">
        <v>6</v>
      </c>
      <c r="H78" s="1">
        <v>30084.28</v>
      </c>
      <c r="I78" t="s">
        <v>21</v>
      </c>
      <c r="J78" s="1">
        <v>180505.68</v>
      </c>
    </row>
    <row r="79" spans="1:10" x14ac:dyDescent="0.35">
      <c r="A79" s="5" t="s">
        <v>166</v>
      </c>
      <c r="B79" t="s">
        <v>167</v>
      </c>
      <c r="C79" t="s">
        <v>71</v>
      </c>
      <c r="D79" t="s">
        <v>24</v>
      </c>
      <c r="E79" t="s">
        <v>25</v>
      </c>
      <c r="F79" t="s">
        <v>24</v>
      </c>
      <c r="G79" s="7">
        <v>6</v>
      </c>
      <c r="H79" s="1">
        <v>823.79</v>
      </c>
      <c r="I79" t="s">
        <v>15</v>
      </c>
      <c r="J79" s="1">
        <v>4942.74</v>
      </c>
    </row>
    <row r="80" spans="1:10" x14ac:dyDescent="0.35">
      <c r="A80" s="5" t="s">
        <v>168</v>
      </c>
      <c r="B80" t="s">
        <v>169</v>
      </c>
      <c r="C80" t="s">
        <v>71</v>
      </c>
      <c r="D80" t="s">
        <v>59</v>
      </c>
      <c r="E80" t="s">
        <v>60</v>
      </c>
      <c r="F80" t="s">
        <v>59</v>
      </c>
      <c r="G80" s="7">
        <v>3</v>
      </c>
      <c r="H80" s="1">
        <v>1611.13</v>
      </c>
      <c r="I80" t="s">
        <v>30</v>
      </c>
      <c r="J80" s="1">
        <v>4833.3900000000003</v>
      </c>
    </row>
    <row r="81" spans="1:10" x14ac:dyDescent="0.35">
      <c r="A81" s="5" t="s">
        <v>170</v>
      </c>
      <c r="B81" t="s">
        <v>171</v>
      </c>
      <c r="C81" t="s">
        <v>56</v>
      </c>
      <c r="D81" t="s">
        <v>59</v>
      </c>
      <c r="E81" t="s">
        <v>60</v>
      </c>
      <c r="F81" t="s">
        <v>59</v>
      </c>
      <c r="G81" s="7">
        <v>2</v>
      </c>
      <c r="H81" s="1">
        <v>1538.42</v>
      </c>
      <c r="I81" t="s">
        <v>15</v>
      </c>
      <c r="J81" s="1">
        <v>3076.84</v>
      </c>
    </row>
    <row r="82" spans="1:10" x14ac:dyDescent="0.35">
      <c r="A82" s="5" t="s">
        <v>172</v>
      </c>
      <c r="B82" t="s">
        <v>173</v>
      </c>
      <c r="C82" t="s">
        <v>71</v>
      </c>
      <c r="D82" t="s">
        <v>59</v>
      </c>
      <c r="E82" t="s">
        <v>60</v>
      </c>
      <c r="F82" t="s">
        <v>59</v>
      </c>
      <c r="G82" s="7">
        <v>2</v>
      </c>
      <c r="H82" s="1">
        <v>1403.51</v>
      </c>
      <c r="I82" t="s">
        <v>21</v>
      </c>
      <c r="J82" s="1">
        <v>2807.02</v>
      </c>
    </row>
    <row r="83" spans="1:10" x14ac:dyDescent="0.35">
      <c r="A83" s="5" t="s">
        <v>108</v>
      </c>
      <c r="B83" t="s">
        <v>174</v>
      </c>
      <c r="C83" t="s">
        <v>71</v>
      </c>
      <c r="D83" t="s">
        <v>19</v>
      </c>
      <c r="E83" t="s">
        <v>20</v>
      </c>
      <c r="F83" t="s">
        <v>19</v>
      </c>
      <c r="G83" s="7">
        <v>4</v>
      </c>
      <c r="H83" s="1">
        <v>30617.05</v>
      </c>
      <c r="I83" t="s">
        <v>15</v>
      </c>
      <c r="J83" s="1">
        <v>122468.2</v>
      </c>
    </row>
    <row r="84" spans="1:10" x14ac:dyDescent="0.35">
      <c r="A84" s="5" t="s">
        <v>175</v>
      </c>
      <c r="B84" t="s">
        <v>176</v>
      </c>
      <c r="C84" t="s">
        <v>56</v>
      </c>
      <c r="D84" t="s">
        <v>24</v>
      </c>
      <c r="E84" t="s">
        <v>25</v>
      </c>
      <c r="F84" t="s">
        <v>24</v>
      </c>
      <c r="G84" s="7">
        <v>8</v>
      </c>
      <c r="H84" s="1">
        <v>813.26</v>
      </c>
      <c r="I84" t="s">
        <v>30</v>
      </c>
      <c r="J84" s="1">
        <v>6506.08</v>
      </c>
    </row>
    <row r="85" spans="1:10" x14ac:dyDescent="0.35">
      <c r="A85" s="5" t="s">
        <v>69</v>
      </c>
      <c r="B85" t="s">
        <v>177</v>
      </c>
      <c r="C85" t="s">
        <v>12</v>
      </c>
      <c r="D85" t="s">
        <v>13</v>
      </c>
      <c r="E85" t="s">
        <v>29</v>
      </c>
      <c r="F85" t="s">
        <v>13</v>
      </c>
      <c r="G85" s="7">
        <v>9</v>
      </c>
      <c r="H85" s="1">
        <v>24487.33</v>
      </c>
      <c r="I85" t="s">
        <v>30</v>
      </c>
      <c r="J85" s="1">
        <v>220385.97</v>
      </c>
    </row>
    <row r="86" spans="1:10" x14ac:dyDescent="0.35">
      <c r="A86" s="5" t="s">
        <v>98</v>
      </c>
      <c r="B86" t="s">
        <v>178</v>
      </c>
      <c r="C86" t="s">
        <v>35</v>
      </c>
      <c r="D86" t="s">
        <v>19</v>
      </c>
      <c r="E86" t="s">
        <v>20</v>
      </c>
      <c r="F86" t="s">
        <v>19</v>
      </c>
      <c r="G86" s="7">
        <v>7</v>
      </c>
      <c r="H86" s="1">
        <v>27997.33</v>
      </c>
      <c r="I86" t="s">
        <v>41</v>
      </c>
      <c r="J86" s="1">
        <v>195981.31</v>
      </c>
    </row>
    <row r="87" spans="1:10" x14ac:dyDescent="0.35">
      <c r="A87" s="5" t="s">
        <v>179</v>
      </c>
      <c r="B87" t="s">
        <v>180</v>
      </c>
      <c r="C87" t="s">
        <v>12</v>
      </c>
      <c r="D87" t="s">
        <v>59</v>
      </c>
      <c r="E87" t="s">
        <v>60</v>
      </c>
      <c r="F87" t="s">
        <v>59</v>
      </c>
      <c r="G87" s="7">
        <v>6</v>
      </c>
      <c r="H87" s="1">
        <v>1438.76</v>
      </c>
      <c r="I87" t="s">
        <v>30</v>
      </c>
      <c r="J87" s="1">
        <v>8632.56</v>
      </c>
    </row>
    <row r="88" spans="1:10" x14ac:dyDescent="0.35">
      <c r="A88" s="5" t="s">
        <v>181</v>
      </c>
      <c r="B88" t="s">
        <v>182</v>
      </c>
      <c r="C88" t="s">
        <v>71</v>
      </c>
      <c r="D88" t="s">
        <v>19</v>
      </c>
      <c r="E88" t="s">
        <v>36</v>
      </c>
      <c r="F88" t="s">
        <v>19</v>
      </c>
      <c r="G88" s="7">
        <v>6</v>
      </c>
      <c r="H88" s="1">
        <v>11919.66</v>
      </c>
      <c r="I88" t="s">
        <v>21</v>
      </c>
      <c r="J88" s="1">
        <v>71517.960000000006</v>
      </c>
    </row>
    <row r="89" spans="1:10" x14ac:dyDescent="0.35">
      <c r="A89" s="5" t="s">
        <v>183</v>
      </c>
      <c r="B89" t="s">
        <v>184</v>
      </c>
      <c r="C89" t="s">
        <v>35</v>
      </c>
      <c r="D89" t="s">
        <v>59</v>
      </c>
      <c r="E89" t="s">
        <v>60</v>
      </c>
      <c r="F89" t="s">
        <v>59</v>
      </c>
      <c r="G89" s="7">
        <v>1</v>
      </c>
      <c r="H89" s="1">
        <v>1408.17</v>
      </c>
      <c r="I89" t="s">
        <v>41</v>
      </c>
      <c r="J89" s="1">
        <v>1408.17</v>
      </c>
    </row>
    <row r="90" spans="1:10" x14ac:dyDescent="0.35">
      <c r="A90" s="5" t="s">
        <v>85</v>
      </c>
      <c r="B90" t="s">
        <v>185</v>
      </c>
      <c r="C90" t="s">
        <v>71</v>
      </c>
      <c r="D90" t="s">
        <v>59</v>
      </c>
      <c r="E90" t="s">
        <v>60</v>
      </c>
      <c r="F90" t="s">
        <v>59</v>
      </c>
      <c r="G90" s="7">
        <v>5</v>
      </c>
      <c r="H90" s="1">
        <v>1569.6</v>
      </c>
      <c r="I90" t="s">
        <v>21</v>
      </c>
      <c r="J90" s="1">
        <v>7848</v>
      </c>
    </row>
    <row r="91" spans="1:10" x14ac:dyDescent="0.35">
      <c r="A91" s="5" t="s">
        <v>148</v>
      </c>
      <c r="B91" t="s">
        <v>186</v>
      </c>
      <c r="C91" t="s">
        <v>18</v>
      </c>
      <c r="D91" t="s">
        <v>19</v>
      </c>
      <c r="E91" t="s">
        <v>20</v>
      </c>
      <c r="F91" t="s">
        <v>19</v>
      </c>
      <c r="G91" s="7">
        <v>2</v>
      </c>
      <c r="H91" s="1">
        <v>32740.85</v>
      </c>
      <c r="I91" t="s">
        <v>41</v>
      </c>
      <c r="J91" s="1">
        <v>65481.7</v>
      </c>
    </row>
    <row r="92" spans="1:10" x14ac:dyDescent="0.35">
      <c r="A92" s="5" t="s">
        <v>183</v>
      </c>
      <c r="B92" t="s">
        <v>187</v>
      </c>
      <c r="C92" t="s">
        <v>56</v>
      </c>
      <c r="D92" t="s">
        <v>19</v>
      </c>
      <c r="E92" t="s">
        <v>36</v>
      </c>
      <c r="F92" t="s">
        <v>19</v>
      </c>
      <c r="G92" s="7">
        <v>1</v>
      </c>
      <c r="H92" s="1">
        <v>10841.83</v>
      </c>
      <c r="I92" t="s">
        <v>41</v>
      </c>
      <c r="J92" s="1">
        <v>10841.83</v>
      </c>
    </row>
    <row r="93" spans="1:10" x14ac:dyDescent="0.35">
      <c r="A93" s="5" t="s">
        <v>188</v>
      </c>
      <c r="B93" t="s">
        <v>189</v>
      </c>
      <c r="C93" t="s">
        <v>28</v>
      </c>
      <c r="D93" t="s">
        <v>19</v>
      </c>
      <c r="E93" t="s">
        <v>20</v>
      </c>
      <c r="F93" t="s">
        <v>19</v>
      </c>
      <c r="G93" s="7">
        <v>7</v>
      </c>
      <c r="H93" s="1">
        <v>32069.55</v>
      </c>
      <c r="I93" t="s">
        <v>21</v>
      </c>
      <c r="J93" s="1">
        <v>224486.85</v>
      </c>
    </row>
    <row r="94" spans="1:10" x14ac:dyDescent="0.35">
      <c r="A94" s="5" t="s">
        <v>190</v>
      </c>
      <c r="B94" t="s">
        <v>191</v>
      </c>
      <c r="C94" t="s">
        <v>28</v>
      </c>
      <c r="D94" t="s">
        <v>24</v>
      </c>
      <c r="E94" t="s">
        <v>25</v>
      </c>
      <c r="F94" t="s">
        <v>24</v>
      </c>
      <c r="G94" s="7">
        <v>8</v>
      </c>
      <c r="H94" s="1">
        <v>723.22</v>
      </c>
      <c r="I94" t="s">
        <v>30</v>
      </c>
      <c r="J94" s="1">
        <v>5785.76</v>
      </c>
    </row>
    <row r="95" spans="1:10" x14ac:dyDescent="0.35">
      <c r="A95" s="5" t="s">
        <v>192</v>
      </c>
      <c r="B95" t="s">
        <v>193</v>
      </c>
      <c r="C95" t="s">
        <v>12</v>
      </c>
      <c r="D95" t="s">
        <v>13</v>
      </c>
      <c r="E95" t="s">
        <v>29</v>
      </c>
      <c r="F95" t="s">
        <v>13</v>
      </c>
      <c r="G95" s="7">
        <v>10</v>
      </c>
      <c r="H95" s="1">
        <v>25838.44</v>
      </c>
      <c r="I95" t="s">
        <v>30</v>
      </c>
      <c r="J95" s="1">
        <v>258384.4</v>
      </c>
    </row>
    <row r="96" spans="1:10" x14ac:dyDescent="0.35">
      <c r="A96" s="5" t="s">
        <v>194</v>
      </c>
      <c r="B96" t="s">
        <v>195</v>
      </c>
      <c r="C96" t="s">
        <v>12</v>
      </c>
      <c r="D96" t="s">
        <v>19</v>
      </c>
      <c r="E96" t="s">
        <v>36</v>
      </c>
      <c r="F96" t="s">
        <v>19</v>
      </c>
      <c r="G96" s="7">
        <v>1</v>
      </c>
      <c r="H96" s="1">
        <v>13020.88</v>
      </c>
      <c r="I96" t="s">
        <v>15</v>
      </c>
      <c r="J96" s="1">
        <v>13020.88</v>
      </c>
    </row>
    <row r="97" spans="1:10" x14ac:dyDescent="0.35">
      <c r="A97" s="5" t="s">
        <v>196</v>
      </c>
      <c r="B97" t="s">
        <v>197</v>
      </c>
      <c r="C97" t="s">
        <v>56</v>
      </c>
      <c r="D97" t="s">
        <v>13</v>
      </c>
      <c r="E97" t="s">
        <v>29</v>
      </c>
      <c r="F97" t="s">
        <v>13</v>
      </c>
      <c r="G97" s="7">
        <v>7</v>
      </c>
      <c r="H97" s="1">
        <v>23530.26</v>
      </c>
      <c r="I97" t="s">
        <v>15</v>
      </c>
      <c r="J97" s="1">
        <v>164711.82</v>
      </c>
    </row>
    <row r="98" spans="1:10" x14ac:dyDescent="0.35">
      <c r="A98" s="5" t="s">
        <v>89</v>
      </c>
      <c r="B98" t="s">
        <v>198</v>
      </c>
      <c r="C98" t="s">
        <v>12</v>
      </c>
      <c r="D98" t="s">
        <v>19</v>
      </c>
      <c r="E98" t="s">
        <v>20</v>
      </c>
      <c r="F98" t="s">
        <v>19</v>
      </c>
      <c r="G98" s="7">
        <v>2</v>
      </c>
      <c r="H98" s="1">
        <v>32926.910000000003</v>
      </c>
      <c r="I98" t="s">
        <v>30</v>
      </c>
      <c r="J98" s="1">
        <v>65853.820000000007</v>
      </c>
    </row>
    <row r="99" spans="1:10" x14ac:dyDescent="0.35">
      <c r="A99" s="5" t="s">
        <v>199</v>
      </c>
      <c r="B99" t="s">
        <v>200</v>
      </c>
      <c r="C99" t="s">
        <v>12</v>
      </c>
      <c r="D99" t="s">
        <v>13</v>
      </c>
      <c r="E99" t="s">
        <v>14</v>
      </c>
      <c r="F99" t="s">
        <v>13</v>
      </c>
      <c r="G99" s="7">
        <v>3</v>
      </c>
      <c r="H99" s="1">
        <v>56792.36</v>
      </c>
      <c r="I99" t="s">
        <v>30</v>
      </c>
      <c r="J99" s="1">
        <v>170377.08</v>
      </c>
    </row>
    <row r="100" spans="1:10" x14ac:dyDescent="0.35">
      <c r="A100" s="5" t="s">
        <v>201</v>
      </c>
      <c r="B100" t="s">
        <v>202</v>
      </c>
      <c r="C100" t="s">
        <v>56</v>
      </c>
      <c r="D100" t="s">
        <v>59</v>
      </c>
      <c r="E100" t="s">
        <v>60</v>
      </c>
      <c r="F100" t="s">
        <v>59</v>
      </c>
      <c r="G100" s="7">
        <v>10</v>
      </c>
      <c r="H100" s="1">
        <v>1529.59</v>
      </c>
      <c r="I100" t="s">
        <v>30</v>
      </c>
      <c r="J100" s="1">
        <v>15295.9</v>
      </c>
    </row>
    <row r="101" spans="1:10" x14ac:dyDescent="0.35">
      <c r="A101" s="5" t="s">
        <v>203</v>
      </c>
      <c r="B101" t="s">
        <v>204</v>
      </c>
      <c r="C101" t="s">
        <v>71</v>
      </c>
      <c r="D101" t="s">
        <v>19</v>
      </c>
      <c r="E101" t="s">
        <v>36</v>
      </c>
      <c r="F101" t="s">
        <v>19</v>
      </c>
      <c r="G101" s="7">
        <v>6</v>
      </c>
      <c r="H101" s="1">
        <v>10920.61</v>
      </c>
      <c r="I101" t="s">
        <v>30</v>
      </c>
      <c r="J101" s="1">
        <v>65523.66</v>
      </c>
    </row>
    <row r="102" spans="1:10" x14ac:dyDescent="0.35">
      <c r="A102" s="5" t="s">
        <v>136</v>
      </c>
      <c r="B102" t="s">
        <v>205</v>
      </c>
      <c r="C102" t="s">
        <v>12</v>
      </c>
      <c r="D102" t="s">
        <v>24</v>
      </c>
      <c r="E102" t="s">
        <v>25</v>
      </c>
      <c r="F102" t="s">
        <v>24</v>
      </c>
      <c r="G102" s="7">
        <v>1</v>
      </c>
      <c r="H102" s="1">
        <v>748.44</v>
      </c>
      <c r="I102" t="s">
        <v>21</v>
      </c>
      <c r="J102" s="1">
        <v>748.44</v>
      </c>
    </row>
    <row r="103" spans="1:10" x14ac:dyDescent="0.35">
      <c r="A103" s="5" t="s">
        <v>140</v>
      </c>
      <c r="B103" t="s">
        <v>206</v>
      </c>
      <c r="C103" t="s">
        <v>28</v>
      </c>
      <c r="D103" t="s">
        <v>24</v>
      </c>
      <c r="E103" t="s">
        <v>25</v>
      </c>
      <c r="F103" t="s">
        <v>24</v>
      </c>
      <c r="G103" s="7">
        <v>3</v>
      </c>
      <c r="H103" s="1">
        <v>797.51</v>
      </c>
      <c r="I103" t="s">
        <v>41</v>
      </c>
      <c r="J103" s="1">
        <v>2392.5300000000002</v>
      </c>
    </row>
    <row r="104" spans="1:10" x14ac:dyDescent="0.35">
      <c r="A104" s="5" t="s">
        <v>33</v>
      </c>
      <c r="B104" t="s">
        <v>207</v>
      </c>
      <c r="C104" t="s">
        <v>28</v>
      </c>
      <c r="D104" t="s">
        <v>13</v>
      </c>
      <c r="E104" t="s">
        <v>14</v>
      </c>
      <c r="F104" t="s">
        <v>13</v>
      </c>
      <c r="G104" s="7">
        <v>5</v>
      </c>
      <c r="H104" s="1">
        <v>57092.53</v>
      </c>
      <c r="I104" t="s">
        <v>41</v>
      </c>
      <c r="J104" s="1">
        <v>285462.65000000002</v>
      </c>
    </row>
    <row r="105" spans="1:10" x14ac:dyDescent="0.35">
      <c r="A105" s="5" t="s">
        <v>98</v>
      </c>
      <c r="B105" t="s">
        <v>208</v>
      </c>
      <c r="C105" t="s">
        <v>18</v>
      </c>
      <c r="D105" t="s">
        <v>13</v>
      </c>
      <c r="E105" t="s">
        <v>14</v>
      </c>
      <c r="F105" t="s">
        <v>13</v>
      </c>
      <c r="G105" s="7">
        <v>8</v>
      </c>
      <c r="H105" s="1">
        <v>56433.61</v>
      </c>
      <c r="I105" t="s">
        <v>41</v>
      </c>
      <c r="J105" s="1">
        <v>451468.88</v>
      </c>
    </row>
    <row r="106" spans="1:10" x14ac:dyDescent="0.35">
      <c r="A106" s="5" t="s">
        <v>46</v>
      </c>
      <c r="B106" t="s">
        <v>209</v>
      </c>
      <c r="C106" t="s">
        <v>71</v>
      </c>
      <c r="D106" t="s">
        <v>13</v>
      </c>
      <c r="E106" t="s">
        <v>29</v>
      </c>
      <c r="F106" t="s">
        <v>13</v>
      </c>
      <c r="G106" s="7">
        <v>7</v>
      </c>
      <c r="H106" s="1">
        <v>26218.639999999999</v>
      </c>
      <c r="I106" t="s">
        <v>21</v>
      </c>
      <c r="J106" s="1">
        <v>183530.48</v>
      </c>
    </row>
    <row r="107" spans="1:10" x14ac:dyDescent="0.35">
      <c r="A107" s="5" t="s">
        <v>210</v>
      </c>
      <c r="B107" t="s">
        <v>211</v>
      </c>
      <c r="C107" t="s">
        <v>71</v>
      </c>
      <c r="D107" t="s">
        <v>24</v>
      </c>
      <c r="E107" t="s">
        <v>25</v>
      </c>
      <c r="F107" t="s">
        <v>24</v>
      </c>
      <c r="G107" s="7">
        <v>3</v>
      </c>
      <c r="H107" s="1">
        <v>752.06</v>
      </c>
      <c r="I107" t="s">
        <v>41</v>
      </c>
      <c r="J107" s="1">
        <v>2256.1799999999998</v>
      </c>
    </row>
    <row r="108" spans="1:10" x14ac:dyDescent="0.35">
      <c r="A108" s="5" t="s">
        <v>212</v>
      </c>
      <c r="B108" t="s">
        <v>213</v>
      </c>
      <c r="C108" t="s">
        <v>71</v>
      </c>
      <c r="D108" t="s">
        <v>13</v>
      </c>
      <c r="E108" t="s">
        <v>29</v>
      </c>
      <c r="F108" t="s">
        <v>13</v>
      </c>
      <c r="G108" s="7">
        <v>1</v>
      </c>
      <c r="H108" s="1">
        <v>23565.71</v>
      </c>
      <c r="I108" t="s">
        <v>30</v>
      </c>
      <c r="J108" s="1">
        <v>23565.71</v>
      </c>
    </row>
    <row r="109" spans="1:10" x14ac:dyDescent="0.35">
      <c r="A109" s="5" t="s">
        <v>190</v>
      </c>
      <c r="B109" t="s">
        <v>214</v>
      </c>
      <c r="C109" t="s">
        <v>56</v>
      </c>
      <c r="D109" t="s">
        <v>19</v>
      </c>
      <c r="E109" t="s">
        <v>36</v>
      </c>
      <c r="F109" t="s">
        <v>19</v>
      </c>
      <c r="G109" s="7">
        <v>1</v>
      </c>
      <c r="H109" s="1">
        <v>11588.58</v>
      </c>
      <c r="I109" t="s">
        <v>15</v>
      </c>
      <c r="J109" s="1">
        <v>11588.58</v>
      </c>
    </row>
    <row r="110" spans="1:10" x14ac:dyDescent="0.35">
      <c r="A110" s="5" t="s">
        <v>215</v>
      </c>
      <c r="B110" t="s">
        <v>216</v>
      </c>
      <c r="C110" t="s">
        <v>12</v>
      </c>
      <c r="D110" t="s">
        <v>19</v>
      </c>
      <c r="E110" t="s">
        <v>20</v>
      </c>
      <c r="F110" t="s">
        <v>19</v>
      </c>
      <c r="G110" s="7">
        <v>8</v>
      </c>
      <c r="H110" s="1">
        <v>28667.17</v>
      </c>
      <c r="I110" t="s">
        <v>21</v>
      </c>
      <c r="J110" s="1">
        <v>229337.36</v>
      </c>
    </row>
    <row r="111" spans="1:10" x14ac:dyDescent="0.35">
      <c r="A111" s="5" t="s">
        <v>52</v>
      </c>
      <c r="B111" t="s">
        <v>217</v>
      </c>
      <c r="C111" t="s">
        <v>71</v>
      </c>
      <c r="D111" t="s">
        <v>19</v>
      </c>
      <c r="E111" t="s">
        <v>20</v>
      </c>
      <c r="F111" t="s">
        <v>19</v>
      </c>
      <c r="G111" s="7">
        <v>9</v>
      </c>
      <c r="H111" s="1">
        <v>32381.26</v>
      </c>
      <c r="I111" t="s">
        <v>15</v>
      </c>
      <c r="J111" s="1">
        <v>291431.34000000003</v>
      </c>
    </row>
    <row r="112" spans="1:10" x14ac:dyDescent="0.35">
      <c r="A112" s="5" t="s">
        <v>218</v>
      </c>
      <c r="B112" t="s">
        <v>219</v>
      </c>
      <c r="C112" t="s">
        <v>18</v>
      </c>
      <c r="D112" t="s">
        <v>13</v>
      </c>
      <c r="E112" t="s">
        <v>29</v>
      </c>
      <c r="F112" t="s">
        <v>13</v>
      </c>
      <c r="G112" s="7">
        <v>10</v>
      </c>
      <c r="H112" s="1">
        <v>26363.4</v>
      </c>
      <c r="I112" t="s">
        <v>21</v>
      </c>
      <c r="J112" s="1">
        <v>263634</v>
      </c>
    </row>
    <row r="113" spans="1:10" x14ac:dyDescent="0.35">
      <c r="A113" s="5" t="s">
        <v>190</v>
      </c>
      <c r="B113" t="s">
        <v>220</v>
      </c>
      <c r="C113" t="s">
        <v>71</v>
      </c>
      <c r="D113" t="s">
        <v>59</v>
      </c>
      <c r="E113" t="s">
        <v>60</v>
      </c>
      <c r="F113" t="s">
        <v>59</v>
      </c>
      <c r="G113" s="7">
        <v>9</v>
      </c>
      <c r="H113" s="1">
        <v>1437.34</v>
      </c>
      <c r="I113" t="s">
        <v>15</v>
      </c>
      <c r="J113" s="1">
        <v>12936.06</v>
      </c>
    </row>
    <row r="114" spans="1:10" x14ac:dyDescent="0.35">
      <c r="A114" s="5" t="s">
        <v>221</v>
      </c>
      <c r="B114" t="s">
        <v>222</v>
      </c>
      <c r="C114" t="s">
        <v>28</v>
      </c>
      <c r="D114" t="s">
        <v>59</v>
      </c>
      <c r="E114" t="s">
        <v>60</v>
      </c>
      <c r="F114" t="s">
        <v>59</v>
      </c>
      <c r="G114" s="7">
        <v>1</v>
      </c>
      <c r="H114" s="1">
        <v>1538.82</v>
      </c>
      <c r="I114" t="s">
        <v>41</v>
      </c>
      <c r="J114" s="1">
        <v>1538.82</v>
      </c>
    </row>
    <row r="115" spans="1:10" x14ac:dyDescent="0.35">
      <c r="A115" s="5" t="s">
        <v>223</v>
      </c>
      <c r="B115" t="s">
        <v>224</v>
      </c>
      <c r="C115" t="s">
        <v>28</v>
      </c>
      <c r="D115" t="s">
        <v>13</v>
      </c>
      <c r="E115" t="s">
        <v>14</v>
      </c>
      <c r="F115" t="s">
        <v>13</v>
      </c>
      <c r="G115" s="7">
        <v>8</v>
      </c>
      <c r="H115" s="1">
        <v>60148.73</v>
      </c>
      <c r="I115" t="s">
        <v>15</v>
      </c>
      <c r="J115" s="1">
        <v>481189.84</v>
      </c>
    </row>
    <row r="116" spans="1:10" x14ac:dyDescent="0.35">
      <c r="A116" s="5" t="s">
        <v>170</v>
      </c>
      <c r="B116" t="s">
        <v>225</v>
      </c>
      <c r="C116" t="s">
        <v>35</v>
      </c>
      <c r="D116" t="s">
        <v>19</v>
      </c>
      <c r="E116" t="s">
        <v>36</v>
      </c>
      <c r="F116" t="s">
        <v>19</v>
      </c>
      <c r="G116" s="7">
        <v>3</v>
      </c>
      <c r="H116" s="1">
        <v>11254.4</v>
      </c>
      <c r="I116" t="s">
        <v>30</v>
      </c>
      <c r="J116" s="1">
        <v>33763.199999999997</v>
      </c>
    </row>
    <row r="117" spans="1:10" x14ac:dyDescent="0.35">
      <c r="A117" s="5" t="s">
        <v>226</v>
      </c>
      <c r="B117" t="s">
        <v>227</v>
      </c>
      <c r="C117" t="s">
        <v>18</v>
      </c>
      <c r="D117" t="s">
        <v>13</v>
      </c>
      <c r="E117" t="s">
        <v>29</v>
      </c>
      <c r="F117" t="s">
        <v>13</v>
      </c>
      <c r="G117" s="7">
        <v>2</v>
      </c>
      <c r="H117" s="1">
        <v>25106.43</v>
      </c>
      <c r="I117" t="s">
        <v>41</v>
      </c>
      <c r="J117" s="1">
        <v>50212.86</v>
      </c>
    </row>
    <row r="118" spans="1:10" x14ac:dyDescent="0.35">
      <c r="A118" s="5" t="s">
        <v>166</v>
      </c>
      <c r="B118" t="s">
        <v>228</v>
      </c>
      <c r="C118" t="s">
        <v>28</v>
      </c>
      <c r="D118" t="s">
        <v>13</v>
      </c>
      <c r="E118" t="s">
        <v>14</v>
      </c>
      <c r="F118" t="s">
        <v>13</v>
      </c>
      <c r="G118" s="7">
        <v>3</v>
      </c>
      <c r="H118" s="1">
        <v>54964.86</v>
      </c>
      <c r="I118" t="s">
        <v>30</v>
      </c>
      <c r="J118" s="1">
        <v>164894.57999999999</v>
      </c>
    </row>
    <row r="119" spans="1:10" x14ac:dyDescent="0.35">
      <c r="A119" s="5" t="s">
        <v>91</v>
      </c>
      <c r="B119" t="s">
        <v>229</v>
      </c>
      <c r="C119" t="s">
        <v>18</v>
      </c>
      <c r="D119" t="s">
        <v>59</v>
      </c>
      <c r="E119" t="s">
        <v>60</v>
      </c>
      <c r="F119" t="s">
        <v>59</v>
      </c>
      <c r="G119" s="7">
        <v>5</v>
      </c>
      <c r="H119" s="1">
        <v>1468.99</v>
      </c>
      <c r="I119" t="s">
        <v>41</v>
      </c>
      <c r="J119" s="1">
        <v>7344.95</v>
      </c>
    </row>
    <row r="120" spans="1:10" x14ac:dyDescent="0.35">
      <c r="A120" s="5" t="s">
        <v>164</v>
      </c>
      <c r="B120" t="s">
        <v>230</v>
      </c>
      <c r="C120" t="s">
        <v>35</v>
      </c>
      <c r="D120" t="s">
        <v>19</v>
      </c>
      <c r="E120" t="s">
        <v>20</v>
      </c>
      <c r="F120" t="s">
        <v>19</v>
      </c>
      <c r="G120" s="7">
        <v>5</v>
      </c>
      <c r="H120" s="1">
        <v>29159.43</v>
      </c>
      <c r="I120" t="s">
        <v>30</v>
      </c>
      <c r="J120" s="1">
        <v>145797.15</v>
      </c>
    </row>
    <row r="121" spans="1:10" x14ac:dyDescent="0.35">
      <c r="A121" s="5" t="s">
        <v>231</v>
      </c>
      <c r="B121" t="s">
        <v>232</v>
      </c>
      <c r="C121" t="s">
        <v>71</v>
      </c>
      <c r="D121" t="s">
        <v>59</v>
      </c>
      <c r="E121" t="s">
        <v>60</v>
      </c>
      <c r="F121" t="s">
        <v>59</v>
      </c>
      <c r="G121" s="7">
        <v>7</v>
      </c>
      <c r="H121" s="1">
        <v>1453.37</v>
      </c>
      <c r="I121" t="s">
        <v>15</v>
      </c>
      <c r="J121" s="1">
        <v>10173.59</v>
      </c>
    </row>
    <row r="122" spans="1:10" x14ac:dyDescent="0.35">
      <c r="A122" s="5" t="s">
        <v>199</v>
      </c>
      <c r="B122" t="s">
        <v>233</v>
      </c>
      <c r="C122" t="s">
        <v>35</v>
      </c>
      <c r="D122" t="s">
        <v>13</v>
      </c>
      <c r="E122" t="s">
        <v>29</v>
      </c>
      <c r="F122" t="s">
        <v>13</v>
      </c>
      <c r="G122" s="7">
        <v>4</v>
      </c>
      <c r="H122" s="1">
        <v>24027.37</v>
      </c>
      <c r="I122" t="s">
        <v>30</v>
      </c>
      <c r="J122" s="1">
        <v>96109.48</v>
      </c>
    </row>
    <row r="123" spans="1:10" x14ac:dyDescent="0.35">
      <c r="A123" s="5" t="s">
        <v>234</v>
      </c>
      <c r="B123" t="s">
        <v>235</v>
      </c>
      <c r="C123" t="s">
        <v>28</v>
      </c>
      <c r="D123" t="s">
        <v>19</v>
      </c>
      <c r="E123" t="s">
        <v>20</v>
      </c>
      <c r="F123" t="s">
        <v>19</v>
      </c>
      <c r="G123" s="7">
        <v>8</v>
      </c>
      <c r="H123" s="1">
        <v>32462.959999999999</v>
      </c>
      <c r="I123" t="s">
        <v>21</v>
      </c>
      <c r="J123" s="1">
        <v>259703.67999999999</v>
      </c>
    </row>
    <row r="124" spans="1:10" x14ac:dyDescent="0.35">
      <c r="A124" s="5" t="s">
        <v>236</v>
      </c>
      <c r="B124" t="s">
        <v>237</v>
      </c>
      <c r="C124" t="s">
        <v>35</v>
      </c>
      <c r="D124" t="s">
        <v>19</v>
      </c>
      <c r="E124" t="s">
        <v>36</v>
      </c>
      <c r="F124" t="s">
        <v>19</v>
      </c>
      <c r="G124" s="7">
        <v>10</v>
      </c>
      <c r="H124" s="1">
        <v>12416.43</v>
      </c>
      <c r="I124" t="s">
        <v>30</v>
      </c>
      <c r="J124" s="1">
        <v>124164.3</v>
      </c>
    </row>
    <row r="125" spans="1:10" x14ac:dyDescent="0.35">
      <c r="A125" s="5" t="s">
        <v>238</v>
      </c>
      <c r="B125" t="s">
        <v>239</v>
      </c>
      <c r="C125" t="s">
        <v>71</v>
      </c>
      <c r="D125" t="s">
        <v>19</v>
      </c>
      <c r="E125" t="s">
        <v>20</v>
      </c>
      <c r="F125" t="s">
        <v>19</v>
      </c>
      <c r="G125" s="7">
        <v>9</v>
      </c>
      <c r="H125" s="1">
        <v>27895.06</v>
      </c>
      <c r="I125" t="s">
        <v>21</v>
      </c>
      <c r="J125" s="1">
        <v>251055.54</v>
      </c>
    </row>
    <row r="126" spans="1:10" x14ac:dyDescent="0.35">
      <c r="A126" s="5" t="s">
        <v>240</v>
      </c>
      <c r="B126" t="s">
        <v>241</v>
      </c>
      <c r="C126" t="s">
        <v>28</v>
      </c>
      <c r="D126" t="s">
        <v>59</v>
      </c>
      <c r="E126" t="s">
        <v>60</v>
      </c>
      <c r="F126" t="s">
        <v>59</v>
      </c>
      <c r="G126" s="7">
        <v>1</v>
      </c>
      <c r="H126" s="1">
        <v>1627.58</v>
      </c>
      <c r="I126" t="s">
        <v>21</v>
      </c>
      <c r="J126" s="1">
        <v>1627.58</v>
      </c>
    </row>
    <row r="127" spans="1:10" x14ac:dyDescent="0.35">
      <c r="A127" s="5" t="s">
        <v>242</v>
      </c>
      <c r="B127" t="s">
        <v>243</v>
      </c>
      <c r="C127" t="s">
        <v>28</v>
      </c>
      <c r="D127" t="s">
        <v>19</v>
      </c>
      <c r="E127" t="s">
        <v>20</v>
      </c>
      <c r="F127" t="s">
        <v>19</v>
      </c>
      <c r="G127" s="7">
        <v>2</v>
      </c>
      <c r="H127" s="1">
        <v>28463.07</v>
      </c>
      <c r="I127" t="s">
        <v>21</v>
      </c>
      <c r="J127" s="1">
        <v>56926.14</v>
      </c>
    </row>
    <row r="128" spans="1:10" x14ac:dyDescent="0.35">
      <c r="A128" s="5" t="s">
        <v>192</v>
      </c>
      <c r="B128" t="s">
        <v>244</v>
      </c>
      <c r="C128" t="s">
        <v>12</v>
      </c>
      <c r="D128" t="s">
        <v>19</v>
      </c>
      <c r="E128" t="s">
        <v>20</v>
      </c>
      <c r="F128" t="s">
        <v>19</v>
      </c>
      <c r="G128" s="7">
        <v>2</v>
      </c>
      <c r="H128" s="1">
        <v>30961.61</v>
      </c>
      <c r="I128" t="s">
        <v>21</v>
      </c>
      <c r="J128" s="1">
        <v>61923.22</v>
      </c>
    </row>
    <row r="129" spans="1:10" x14ac:dyDescent="0.35">
      <c r="A129" s="5" t="s">
        <v>245</v>
      </c>
      <c r="B129" t="s">
        <v>246</v>
      </c>
      <c r="C129" t="s">
        <v>56</v>
      </c>
      <c r="D129" t="s">
        <v>19</v>
      </c>
      <c r="E129" t="s">
        <v>20</v>
      </c>
      <c r="F129" t="s">
        <v>19</v>
      </c>
      <c r="G129" s="7">
        <v>3</v>
      </c>
      <c r="H129" s="1">
        <v>28719.49</v>
      </c>
      <c r="I129" t="s">
        <v>21</v>
      </c>
      <c r="J129" s="1">
        <v>86158.47</v>
      </c>
    </row>
    <row r="130" spans="1:10" x14ac:dyDescent="0.35">
      <c r="A130" s="5" t="s">
        <v>150</v>
      </c>
      <c r="B130" t="s">
        <v>247</v>
      </c>
      <c r="C130" t="s">
        <v>56</v>
      </c>
      <c r="D130" t="s">
        <v>24</v>
      </c>
      <c r="E130" t="s">
        <v>25</v>
      </c>
      <c r="F130" t="s">
        <v>24</v>
      </c>
      <c r="G130" s="7">
        <v>7</v>
      </c>
      <c r="H130" s="1">
        <v>827.54</v>
      </c>
      <c r="I130" t="s">
        <v>30</v>
      </c>
      <c r="J130" s="1">
        <v>5792.78</v>
      </c>
    </row>
    <row r="131" spans="1:10" x14ac:dyDescent="0.35">
      <c r="A131" s="5" t="s">
        <v>248</v>
      </c>
      <c r="B131" t="s">
        <v>249</v>
      </c>
      <c r="C131" t="s">
        <v>71</v>
      </c>
      <c r="D131" t="s">
        <v>59</v>
      </c>
      <c r="E131" t="s">
        <v>60</v>
      </c>
      <c r="F131" t="s">
        <v>59</v>
      </c>
      <c r="G131" s="7">
        <v>7</v>
      </c>
      <c r="H131" s="1">
        <v>1410.64</v>
      </c>
      <c r="I131" t="s">
        <v>15</v>
      </c>
      <c r="J131" s="1">
        <v>9874.48</v>
      </c>
    </row>
    <row r="132" spans="1:10" x14ac:dyDescent="0.35">
      <c r="A132" s="5" t="s">
        <v>250</v>
      </c>
      <c r="B132" t="s">
        <v>251</v>
      </c>
      <c r="C132" t="s">
        <v>12</v>
      </c>
      <c r="D132" t="s">
        <v>19</v>
      </c>
      <c r="E132" t="s">
        <v>36</v>
      </c>
      <c r="F132" t="s">
        <v>19</v>
      </c>
      <c r="G132" s="7">
        <v>4</v>
      </c>
      <c r="H132" s="1">
        <v>12823.53</v>
      </c>
      <c r="I132" t="s">
        <v>30</v>
      </c>
      <c r="J132" s="1">
        <v>51294.12</v>
      </c>
    </row>
    <row r="133" spans="1:10" x14ac:dyDescent="0.35">
      <c r="A133" s="5" t="s">
        <v>252</v>
      </c>
      <c r="B133" t="s">
        <v>253</v>
      </c>
      <c r="C133" t="s">
        <v>12</v>
      </c>
      <c r="D133" t="s">
        <v>24</v>
      </c>
      <c r="E133" t="s">
        <v>25</v>
      </c>
      <c r="F133" t="s">
        <v>24</v>
      </c>
      <c r="G133" s="7">
        <v>8</v>
      </c>
      <c r="H133" s="1">
        <v>758.69</v>
      </c>
      <c r="I133" t="s">
        <v>21</v>
      </c>
      <c r="J133" s="1">
        <v>6069.52</v>
      </c>
    </row>
    <row r="134" spans="1:10" x14ac:dyDescent="0.35">
      <c r="A134" s="5" t="s">
        <v>254</v>
      </c>
      <c r="B134" t="s">
        <v>255</v>
      </c>
      <c r="C134" t="s">
        <v>12</v>
      </c>
      <c r="D134" t="s">
        <v>13</v>
      </c>
      <c r="E134" t="s">
        <v>29</v>
      </c>
      <c r="F134" t="s">
        <v>13</v>
      </c>
      <c r="G134" s="7">
        <v>4</v>
      </c>
      <c r="H134" s="1">
        <v>23154.29</v>
      </c>
      <c r="I134" t="s">
        <v>30</v>
      </c>
      <c r="J134" s="1">
        <v>92617.16</v>
      </c>
    </row>
    <row r="135" spans="1:10" x14ac:dyDescent="0.35">
      <c r="A135" s="5" t="s">
        <v>16</v>
      </c>
      <c r="B135" t="s">
        <v>256</v>
      </c>
      <c r="C135" t="s">
        <v>28</v>
      </c>
      <c r="D135" t="s">
        <v>59</v>
      </c>
      <c r="E135" t="s">
        <v>60</v>
      </c>
      <c r="F135" t="s">
        <v>59</v>
      </c>
      <c r="G135" s="7">
        <v>1</v>
      </c>
      <c r="H135" s="1">
        <v>1580</v>
      </c>
      <c r="I135" t="s">
        <v>15</v>
      </c>
      <c r="J135" s="1">
        <v>1580</v>
      </c>
    </row>
    <row r="136" spans="1:10" x14ac:dyDescent="0.35">
      <c r="A136" s="5" t="s">
        <v>257</v>
      </c>
      <c r="B136" t="s">
        <v>258</v>
      </c>
      <c r="C136" t="s">
        <v>28</v>
      </c>
      <c r="D136" t="s">
        <v>19</v>
      </c>
      <c r="E136" t="s">
        <v>20</v>
      </c>
      <c r="F136" t="s">
        <v>19</v>
      </c>
      <c r="G136" s="7">
        <v>2</v>
      </c>
      <c r="H136" s="1">
        <v>30259.99</v>
      </c>
      <c r="I136" t="s">
        <v>41</v>
      </c>
      <c r="J136" s="1">
        <v>60519.98</v>
      </c>
    </row>
    <row r="137" spans="1:10" x14ac:dyDescent="0.35">
      <c r="A137" s="5" t="s">
        <v>259</v>
      </c>
      <c r="B137" t="s">
        <v>260</v>
      </c>
      <c r="C137" t="s">
        <v>28</v>
      </c>
      <c r="D137" t="s">
        <v>59</v>
      </c>
      <c r="E137" t="s">
        <v>60</v>
      </c>
      <c r="F137" t="s">
        <v>59</v>
      </c>
      <c r="G137" s="7">
        <v>5</v>
      </c>
      <c r="H137" s="1">
        <v>1521.79</v>
      </c>
      <c r="I137" t="s">
        <v>41</v>
      </c>
      <c r="J137" s="1">
        <v>7608.95</v>
      </c>
    </row>
    <row r="138" spans="1:10" x14ac:dyDescent="0.35">
      <c r="A138" s="5" t="s">
        <v>112</v>
      </c>
      <c r="B138" t="s">
        <v>261</v>
      </c>
      <c r="C138" t="s">
        <v>28</v>
      </c>
      <c r="D138" t="s">
        <v>13</v>
      </c>
      <c r="E138" t="s">
        <v>14</v>
      </c>
      <c r="F138" t="s">
        <v>13</v>
      </c>
      <c r="G138" s="7">
        <v>5</v>
      </c>
      <c r="H138" s="1">
        <v>53719.16</v>
      </c>
      <c r="I138" t="s">
        <v>15</v>
      </c>
      <c r="J138" s="1">
        <v>268595.8</v>
      </c>
    </row>
    <row r="139" spans="1:10" x14ac:dyDescent="0.35">
      <c r="A139" s="5" t="s">
        <v>93</v>
      </c>
      <c r="B139" t="s">
        <v>262</v>
      </c>
      <c r="C139" t="s">
        <v>71</v>
      </c>
      <c r="D139" t="s">
        <v>19</v>
      </c>
      <c r="E139" t="s">
        <v>20</v>
      </c>
      <c r="F139" t="s">
        <v>19</v>
      </c>
      <c r="G139" s="7">
        <v>5</v>
      </c>
      <c r="H139" s="1">
        <v>27640.080000000002</v>
      </c>
      <c r="I139" t="s">
        <v>30</v>
      </c>
      <c r="J139" s="1">
        <v>138200.4</v>
      </c>
    </row>
    <row r="140" spans="1:10" x14ac:dyDescent="0.35">
      <c r="A140" s="5" t="s">
        <v>42</v>
      </c>
      <c r="B140" t="s">
        <v>263</v>
      </c>
      <c r="C140" t="s">
        <v>12</v>
      </c>
      <c r="D140" t="s">
        <v>19</v>
      </c>
      <c r="E140" t="s">
        <v>20</v>
      </c>
      <c r="F140" t="s">
        <v>19</v>
      </c>
      <c r="G140" s="7">
        <v>9</v>
      </c>
      <c r="H140" s="1">
        <v>27053.11</v>
      </c>
      <c r="I140" t="s">
        <v>15</v>
      </c>
      <c r="J140" s="1">
        <v>243477.99</v>
      </c>
    </row>
    <row r="141" spans="1:10" x14ac:dyDescent="0.35">
      <c r="A141" s="5" t="s">
        <v>215</v>
      </c>
      <c r="B141" t="s">
        <v>264</v>
      </c>
      <c r="C141" t="s">
        <v>56</v>
      </c>
      <c r="D141" t="s">
        <v>24</v>
      </c>
      <c r="E141" t="s">
        <v>25</v>
      </c>
      <c r="F141" t="s">
        <v>24</v>
      </c>
      <c r="G141" s="7">
        <v>1</v>
      </c>
      <c r="H141" s="1">
        <v>777.98</v>
      </c>
      <c r="I141" t="s">
        <v>30</v>
      </c>
      <c r="J141" s="1">
        <v>777.98</v>
      </c>
    </row>
    <row r="142" spans="1:10" x14ac:dyDescent="0.35">
      <c r="A142" s="5" t="s">
        <v>265</v>
      </c>
      <c r="B142" t="s">
        <v>266</v>
      </c>
      <c r="C142" t="s">
        <v>35</v>
      </c>
      <c r="D142" t="s">
        <v>13</v>
      </c>
      <c r="E142" t="s">
        <v>14</v>
      </c>
      <c r="F142" t="s">
        <v>13</v>
      </c>
      <c r="G142" s="7">
        <v>3</v>
      </c>
      <c r="H142" s="1">
        <v>53511.32</v>
      </c>
      <c r="I142" t="s">
        <v>41</v>
      </c>
      <c r="J142" s="1">
        <v>160533.96</v>
      </c>
    </row>
    <row r="143" spans="1:10" x14ac:dyDescent="0.35">
      <c r="A143" s="5" t="s">
        <v>155</v>
      </c>
      <c r="B143" t="s">
        <v>267</v>
      </c>
      <c r="C143" t="s">
        <v>56</v>
      </c>
      <c r="D143" t="s">
        <v>13</v>
      </c>
      <c r="E143" t="s">
        <v>14</v>
      </c>
      <c r="F143" t="s">
        <v>13</v>
      </c>
      <c r="G143" s="7">
        <v>8</v>
      </c>
      <c r="H143" s="1">
        <v>55500.67</v>
      </c>
      <c r="I143" t="s">
        <v>15</v>
      </c>
      <c r="J143" s="1">
        <v>444005.36</v>
      </c>
    </row>
    <row r="144" spans="1:10" x14ac:dyDescent="0.35">
      <c r="A144" s="5" t="s">
        <v>168</v>
      </c>
      <c r="B144" t="s">
        <v>268</v>
      </c>
      <c r="C144" t="s">
        <v>12</v>
      </c>
      <c r="D144" t="s">
        <v>19</v>
      </c>
      <c r="E144" t="s">
        <v>20</v>
      </c>
      <c r="F144" t="s">
        <v>19</v>
      </c>
      <c r="G144" s="7">
        <v>7</v>
      </c>
      <c r="H144" s="1">
        <v>31269.69</v>
      </c>
      <c r="I144" t="s">
        <v>30</v>
      </c>
      <c r="J144" s="1">
        <v>218887.83</v>
      </c>
    </row>
    <row r="145" spans="1:10" x14ac:dyDescent="0.35">
      <c r="A145" s="5" t="s">
        <v>91</v>
      </c>
      <c r="B145" t="s">
        <v>269</v>
      </c>
      <c r="C145" t="s">
        <v>28</v>
      </c>
      <c r="D145" t="s">
        <v>59</v>
      </c>
      <c r="E145" t="s">
        <v>60</v>
      </c>
      <c r="F145" t="s">
        <v>59</v>
      </c>
      <c r="G145" s="7">
        <v>8</v>
      </c>
      <c r="H145" s="1">
        <v>1518.87</v>
      </c>
      <c r="I145" t="s">
        <v>30</v>
      </c>
      <c r="J145" s="1">
        <v>12150.96</v>
      </c>
    </row>
    <row r="146" spans="1:10" x14ac:dyDescent="0.35">
      <c r="A146" s="5" t="s">
        <v>270</v>
      </c>
      <c r="B146" t="s">
        <v>271</v>
      </c>
      <c r="C146" t="s">
        <v>35</v>
      </c>
      <c r="D146" t="s">
        <v>19</v>
      </c>
      <c r="E146" t="s">
        <v>36</v>
      </c>
      <c r="F146" t="s">
        <v>19</v>
      </c>
      <c r="G146" s="7">
        <v>7</v>
      </c>
      <c r="H146" s="1">
        <v>10867.57</v>
      </c>
      <c r="I146" t="s">
        <v>41</v>
      </c>
      <c r="J146" s="1">
        <v>76072.990000000005</v>
      </c>
    </row>
    <row r="147" spans="1:10" x14ac:dyDescent="0.35">
      <c r="A147" s="5" t="s">
        <v>272</v>
      </c>
      <c r="B147" t="s">
        <v>273</v>
      </c>
      <c r="C147" t="s">
        <v>71</v>
      </c>
      <c r="D147" t="s">
        <v>13</v>
      </c>
      <c r="E147" t="s">
        <v>29</v>
      </c>
      <c r="F147" t="s">
        <v>13</v>
      </c>
      <c r="G147" s="7">
        <v>9</v>
      </c>
      <c r="H147" s="1">
        <v>25014.58</v>
      </c>
      <c r="I147" t="s">
        <v>41</v>
      </c>
      <c r="J147" s="1">
        <v>225131.22</v>
      </c>
    </row>
    <row r="148" spans="1:10" x14ac:dyDescent="0.35">
      <c r="A148" s="5" t="s">
        <v>259</v>
      </c>
      <c r="B148" t="s">
        <v>274</v>
      </c>
      <c r="C148" t="s">
        <v>71</v>
      </c>
      <c r="D148" t="s">
        <v>24</v>
      </c>
      <c r="E148" t="s">
        <v>25</v>
      </c>
      <c r="F148" t="s">
        <v>24</v>
      </c>
      <c r="G148" s="7">
        <v>8</v>
      </c>
      <c r="H148" s="1">
        <v>778.73</v>
      </c>
      <c r="I148" t="s">
        <v>41</v>
      </c>
      <c r="J148" s="1">
        <v>6229.84</v>
      </c>
    </row>
    <row r="149" spans="1:10" x14ac:dyDescent="0.35">
      <c r="A149" s="5" t="s">
        <v>275</v>
      </c>
      <c r="B149" t="s">
        <v>276</v>
      </c>
      <c r="C149" t="s">
        <v>71</v>
      </c>
      <c r="D149" t="s">
        <v>13</v>
      </c>
      <c r="E149" t="s">
        <v>14</v>
      </c>
      <c r="F149" t="s">
        <v>13</v>
      </c>
      <c r="G149" s="7">
        <v>1</v>
      </c>
      <c r="H149" s="1">
        <v>60331.040000000001</v>
      </c>
      <c r="I149" t="s">
        <v>41</v>
      </c>
      <c r="J149" s="1">
        <v>60331.040000000001</v>
      </c>
    </row>
    <row r="150" spans="1:10" x14ac:dyDescent="0.35">
      <c r="A150" s="5" t="s">
        <v>146</v>
      </c>
      <c r="B150" t="s">
        <v>277</v>
      </c>
      <c r="C150" t="s">
        <v>18</v>
      </c>
      <c r="D150" t="s">
        <v>13</v>
      </c>
      <c r="E150" t="s">
        <v>14</v>
      </c>
      <c r="F150" t="s">
        <v>13</v>
      </c>
      <c r="G150" s="7">
        <v>4</v>
      </c>
      <c r="H150" s="1">
        <v>49816.3</v>
      </c>
      <c r="I150" t="s">
        <v>30</v>
      </c>
      <c r="J150" s="1">
        <v>199265.2</v>
      </c>
    </row>
    <row r="151" spans="1:10" x14ac:dyDescent="0.35">
      <c r="A151" s="5" t="s">
        <v>210</v>
      </c>
      <c r="B151" t="s">
        <v>278</v>
      </c>
      <c r="C151" t="s">
        <v>28</v>
      </c>
      <c r="D151" t="s">
        <v>19</v>
      </c>
      <c r="E151" t="s">
        <v>20</v>
      </c>
      <c r="F151" t="s">
        <v>19</v>
      </c>
      <c r="G151" s="7">
        <v>2</v>
      </c>
      <c r="H151" s="1">
        <v>27274</v>
      </c>
      <c r="I151" t="s">
        <v>30</v>
      </c>
      <c r="J151" s="1">
        <v>54548</v>
      </c>
    </row>
    <row r="152" spans="1:10" x14ac:dyDescent="0.35">
      <c r="A152" s="5" t="s">
        <v>126</v>
      </c>
      <c r="B152" t="s">
        <v>279</v>
      </c>
      <c r="C152" t="s">
        <v>35</v>
      </c>
      <c r="D152" t="s">
        <v>59</v>
      </c>
      <c r="E152" t="s">
        <v>60</v>
      </c>
      <c r="F152" t="s">
        <v>59</v>
      </c>
      <c r="G152" s="7">
        <v>8</v>
      </c>
      <c r="H152" s="1">
        <v>1534.32</v>
      </c>
      <c r="I152" t="s">
        <v>21</v>
      </c>
      <c r="J152" s="1">
        <v>12274.56</v>
      </c>
    </row>
    <row r="153" spans="1:10" x14ac:dyDescent="0.35">
      <c r="A153" s="5" t="s">
        <v>280</v>
      </c>
      <c r="B153" t="s">
        <v>281</v>
      </c>
      <c r="C153" t="s">
        <v>71</v>
      </c>
      <c r="D153" t="s">
        <v>19</v>
      </c>
      <c r="E153" t="s">
        <v>36</v>
      </c>
      <c r="F153" t="s">
        <v>19</v>
      </c>
      <c r="G153" s="7">
        <v>3</v>
      </c>
      <c r="H153" s="1">
        <v>12612.8</v>
      </c>
      <c r="I153" t="s">
        <v>30</v>
      </c>
      <c r="J153" s="1">
        <v>37838.400000000001</v>
      </c>
    </row>
    <row r="154" spans="1:10" x14ac:dyDescent="0.35">
      <c r="A154" s="5" t="s">
        <v>282</v>
      </c>
      <c r="B154" t="s">
        <v>283</v>
      </c>
      <c r="C154" t="s">
        <v>35</v>
      </c>
      <c r="D154" t="s">
        <v>13</v>
      </c>
      <c r="E154" t="s">
        <v>14</v>
      </c>
      <c r="F154" t="s">
        <v>13</v>
      </c>
      <c r="G154" s="7">
        <v>2</v>
      </c>
      <c r="H154" s="1">
        <v>51814.63</v>
      </c>
      <c r="I154" t="s">
        <v>15</v>
      </c>
      <c r="J154" s="1">
        <v>103629.26</v>
      </c>
    </row>
    <row r="155" spans="1:10" x14ac:dyDescent="0.35">
      <c r="A155" s="5" t="s">
        <v>284</v>
      </c>
      <c r="B155" t="s">
        <v>285</v>
      </c>
      <c r="C155" t="s">
        <v>28</v>
      </c>
      <c r="D155" t="s">
        <v>19</v>
      </c>
      <c r="E155" t="s">
        <v>36</v>
      </c>
      <c r="F155" t="s">
        <v>19</v>
      </c>
      <c r="G155" s="7">
        <v>9</v>
      </c>
      <c r="H155" s="1">
        <v>11822.99</v>
      </c>
      <c r="I155" t="s">
        <v>21</v>
      </c>
      <c r="J155" s="1">
        <v>106406.91</v>
      </c>
    </row>
    <row r="156" spans="1:10" x14ac:dyDescent="0.35">
      <c r="A156" s="5" t="s">
        <v>210</v>
      </c>
      <c r="B156" t="s">
        <v>286</v>
      </c>
      <c r="C156" t="s">
        <v>56</v>
      </c>
      <c r="D156" t="s">
        <v>19</v>
      </c>
      <c r="E156" t="s">
        <v>36</v>
      </c>
      <c r="F156" t="s">
        <v>19</v>
      </c>
      <c r="G156" s="7">
        <v>1</v>
      </c>
      <c r="H156" s="1">
        <v>13158.35</v>
      </c>
      <c r="I156" t="s">
        <v>41</v>
      </c>
      <c r="J156" s="1">
        <v>13158.35</v>
      </c>
    </row>
    <row r="157" spans="1:10" x14ac:dyDescent="0.35">
      <c r="A157" s="5" t="s">
        <v>282</v>
      </c>
      <c r="B157" t="s">
        <v>287</v>
      </c>
      <c r="C157" t="s">
        <v>18</v>
      </c>
      <c r="D157" t="s">
        <v>13</v>
      </c>
      <c r="E157" t="s">
        <v>29</v>
      </c>
      <c r="F157" t="s">
        <v>13</v>
      </c>
      <c r="G157" s="7">
        <v>10</v>
      </c>
      <c r="H157" s="1">
        <v>22735.75</v>
      </c>
      <c r="I157" t="s">
        <v>21</v>
      </c>
      <c r="J157" s="1">
        <v>227357.5</v>
      </c>
    </row>
    <row r="158" spans="1:10" x14ac:dyDescent="0.35">
      <c r="A158" s="5" t="s">
        <v>288</v>
      </c>
      <c r="B158" t="s">
        <v>289</v>
      </c>
      <c r="C158" t="s">
        <v>71</v>
      </c>
      <c r="D158" t="s">
        <v>19</v>
      </c>
      <c r="E158" t="s">
        <v>20</v>
      </c>
      <c r="F158" t="s">
        <v>19</v>
      </c>
      <c r="G158" s="7">
        <v>5</v>
      </c>
      <c r="H158" s="1">
        <v>30719.73</v>
      </c>
      <c r="I158" t="s">
        <v>21</v>
      </c>
      <c r="J158" s="1">
        <v>153598.65</v>
      </c>
    </row>
    <row r="159" spans="1:10" x14ac:dyDescent="0.35">
      <c r="A159" s="5" t="s">
        <v>290</v>
      </c>
      <c r="B159" t="s">
        <v>291</v>
      </c>
      <c r="C159" t="s">
        <v>28</v>
      </c>
      <c r="D159" t="s">
        <v>59</v>
      </c>
      <c r="E159" t="s">
        <v>60</v>
      </c>
      <c r="F159" t="s">
        <v>59</v>
      </c>
      <c r="G159" s="7">
        <v>4</v>
      </c>
      <c r="H159" s="1">
        <v>1641.89</v>
      </c>
      <c r="I159" t="s">
        <v>30</v>
      </c>
      <c r="J159" s="1">
        <v>6567.56</v>
      </c>
    </row>
    <row r="160" spans="1:10" x14ac:dyDescent="0.35">
      <c r="A160" s="5" t="s">
        <v>292</v>
      </c>
      <c r="B160" t="s">
        <v>293</v>
      </c>
      <c r="C160" t="s">
        <v>56</v>
      </c>
      <c r="D160" t="s">
        <v>59</v>
      </c>
      <c r="E160" t="s">
        <v>60</v>
      </c>
      <c r="F160" t="s">
        <v>59</v>
      </c>
      <c r="G160" s="7">
        <v>9</v>
      </c>
      <c r="H160" s="1">
        <v>1520.52</v>
      </c>
      <c r="I160" t="s">
        <v>41</v>
      </c>
      <c r="J160" s="1">
        <v>13684.68</v>
      </c>
    </row>
    <row r="161" spans="1:10" x14ac:dyDescent="0.35">
      <c r="A161" s="5" t="s">
        <v>294</v>
      </c>
      <c r="B161" t="s">
        <v>295</v>
      </c>
      <c r="C161" t="s">
        <v>12</v>
      </c>
      <c r="D161" t="s">
        <v>19</v>
      </c>
      <c r="E161" t="s">
        <v>36</v>
      </c>
      <c r="F161" t="s">
        <v>19</v>
      </c>
      <c r="G161" s="7">
        <v>6</v>
      </c>
      <c r="H161" s="1">
        <v>13096.42</v>
      </c>
      <c r="I161" t="s">
        <v>21</v>
      </c>
      <c r="J161" s="1">
        <v>78578.52</v>
      </c>
    </row>
    <row r="162" spans="1:10" x14ac:dyDescent="0.35">
      <c r="A162" s="5" t="s">
        <v>150</v>
      </c>
      <c r="B162" t="s">
        <v>296</v>
      </c>
      <c r="C162" t="s">
        <v>56</v>
      </c>
      <c r="D162" t="s">
        <v>13</v>
      </c>
      <c r="E162" t="s">
        <v>14</v>
      </c>
      <c r="F162" t="s">
        <v>13</v>
      </c>
      <c r="G162" s="7">
        <v>2</v>
      </c>
      <c r="H162" s="1">
        <v>58823.94</v>
      </c>
      <c r="I162" t="s">
        <v>21</v>
      </c>
      <c r="J162" s="1">
        <v>117647.88</v>
      </c>
    </row>
    <row r="163" spans="1:10" x14ac:dyDescent="0.35">
      <c r="A163" s="5" t="s">
        <v>210</v>
      </c>
      <c r="B163" t="s">
        <v>297</v>
      </c>
      <c r="C163" t="s">
        <v>18</v>
      </c>
      <c r="D163" t="s">
        <v>13</v>
      </c>
      <c r="E163" t="s">
        <v>14</v>
      </c>
      <c r="F163" t="s">
        <v>13</v>
      </c>
      <c r="G163" s="7">
        <v>3</v>
      </c>
      <c r="H163" s="1">
        <v>58769.13</v>
      </c>
      <c r="I163" t="s">
        <v>30</v>
      </c>
      <c r="J163" s="1">
        <v>176307.39</v>
      </c>
    </row>
    <row r="164" spans="1:10" x14ac:dyDescent="0.35">
      <c r="A164" s="5" t="s">
        <v>203</v>
      </c>
      <c r="B164" t="s">
        <v>298</v>
      </c>
      <c r="C164" t="s">
        <v>35</v>
      </c>
      <c r="D164" t="s">
        <v>24</v>
      </c>
      <c r="E164" t="s">
        <v>25</v>
      </c>
      <c r="F164" t="s">
        <v>24</v>
      </c>
      <c r="G164" s="7">
        <v>6</v>
      </c>
      <c r="H164" s="1">
        <v>752.23</v>
      </c>
      <c r="I164" t="s">
        <v>15</v>
      </c>
      <c r="J164" s="1">
        <v>4513.38</v>
      </c>
    </row>
    <row r="165" spans="1:10" x14ac:dyDescent="0.35">
      <c r="A165" s="5" t="s">
        <v>299</v>
      </c>
      <c r="B165" t="s">
        <v>300</v>
      </c>
      <c r="C165" t="s">
        <v>71</v>
      </c>
      <c r="D165" t="s">
        <v>13</v>
      </c>
      <c r="E165" t="s">
        <v>29</v>
      </c>
      <c r="F165" t="s">
        <v>13</v>
      </c>
      <c r="G165" s="7">
        <v>2</v>
      </c>
      <c r="H165" s="1">
        <v>24880</v>
      </c>
      <c r="I165" t="s">
        <v>30</v>
      </c>
      <c r="J165" s="1">
        <v>49760</v>
      </c>
    </row>
    <row r="166" spans="1:10" x14ac:dyDescent="0.35">
      <c r="A166" s="5" t="s">
        <v>301</v>
      </c>
      <c r="B166" t="s">
        <v>302</v>
      </c>
      <c r="C166" t="s">
        <v>35</v>
      </c>
      <c r="D166" t="s">
        <v>19</v>
      </c>
      <c r="E166" t="s">
        <v>20</v>
      </c>
      <c r="F166" t="s">
        <v>19</v>
      </c>
      <c r="G166" s="7">
        <v>2</v>
      </c>
      <c r="H166" s="1">
        <v>29005.51</v>
      </c>
      <c r="I166" t="s">
        <v>15</v>
      </c>
      <c r="J166" s="1">
        <v>58011.02</v>
      </c>
    </row>
    <row r="167" spans="1:10" x14ac:dyDescent="0.35">
      <c r="A167" s="5" t="s">
        <v>252</v>
      </c>
      <c r="B167" t="s">
        <v>303</v>
      </c>
      <c r="C167" t="s">
        <v>56</v>
      </c>
      <c r="D167" t="s">
        <v>13</v>
      </c>
      <c r="E167" t="s">
        <v>29</v>
      </c>
      <c r="F167" t="s">
        <v>13</v>
      </c>
      <c r="G167" s="7">
        <v>1</v>
      </c>
      <c r="H167" s="1">
        <v>25372.45</v>
      </c>
      <c r="I167" t="s">
        <v>21</v>
      </c>
      <c r="J167" s="1">
        <v>25372.45</v>
      </c>
    </row>
    <row r="168" spans="1:10" x14ac:dyDescent="0.35">
      <c r="A168" s="5" t="s">
        <v>234</v>
      </c>
      <c r="B168" t="s">
        <v>304</v>
      </c>
      <c r="C168" t="s">
        <v>71</v>
      </c>
      <c r="D168" t="s">
        <v>13</v>
      </c>
      <c r="E168" t="s">
        <v>14</v>
      </c>
      <c r="F168" t="s">
        <v>13</v>
      </c>
      <c r="G168" s="7">
        <v>9</v>
      </c>
      <c r="H168" s="1">
        <v>51400.36</v>
      </c>
      <c r="I168" t="s">
        <v>30</v>
      </c>
      <c r="J168" s="1">
        <v>462603.24</v>
      </c>
    </row>
    <row r="169" spans="1:10" x14ac:dyDescent="0.35">
      <c r="A169" s="5" t="s">
        <v>305</v>
      </c>
      <c r="B169" t="s">
        <v>306</v>
      </c>
      <c r="C169" t="s">
        <v>35</v>
      </c>
      <c r="D169" t="s">
        <v>19</v>
      </c>
      <c r="E169" t="s">
        <v>36</v>
      </c>
      <c r="F169" t="s">
        <v>19</v>
      </c>
      <c r="G169" s="7">
        <v>2</v>
      </c>
      <c r="H169" s="1">
        <v>11402.13</v>
      </c>
      <c r="I169" t="s">
        <v>30</v>
      </c>
      <c r="J169" s="1">
        <v>22804.26</v>
      </c>
    </row>
    <row r="170" spans="1:10" x14ac:dyDescent="0.35">
      <c r="A170" s="5" t="s">
        <v>164</v>
      </c>
      <c r="B170" t="s">
        <v>307</v>
      </c>
      <c r="C170" t="s">
        <v>56</v>
      </c>
      <c r="D170" t="s">
        <v>59</v>
      </c>
      <c r="E170" t="s">
        <v>60</v>
      </c>
      <c r="F170" t="s">
        <v>59</v>
      </c>
      <c r="G170" s="7">
        <v>5</v>
      </c>
      <c r="H170" s="1">
        <v>1519.24</v>
      </c>
      <c r="I170" t="s">
        <v>21</v>
      </c>
      <c r="J170" s="1">
        <v>7596.2</v>
      </c>
    </row>
    <row r="171" spans="1:10" x14ac:dyDescent="0.35">
      <c r="A171" s="5" t="s">
        <v>215</v>
      </c>
      <c r="B171" t="s">
        <v>308</v>
      </c>
      <c r="C171" t="s">
        <v>28</v>
      </c>
      <c r="D171" t="s">
        <v>24</v>
      </c>
      <c r="E171" t="s">
        <v>25</v>
      </c>
      <c r="F171" t="s">
        <v>24</v>
      </c>
      <c r="G171" s="7">
        <v>1</v>
      </c>
      <c r="H171" s="1">
        <v>773.12</v>
      </c>
      <c r="I171" t="s">
        <v>30</v>
      </c>
      <c r="J171" s="1">
        <v>773.12</v>
      </c>
    </row>
    <row r="172" spans="1:10" x14ac:dyDescent="0.35">
      <c r="A172" s="5" t="s">
        <v>128</v>
      </c>
      <c r="B172" t="s">
        <v>309</v>
      </c>
      <c r="C172" t="s">
        <v>35</v>
      </c>
      <c r="D172" t="s">
        <v>13</v>
      </c>
      <c r="E172" t="s">
        <v>29</v>
      </c>
      <c r="F172" t="s">
        <v>13</v>
      </c>
      <c r="G172" s="7">
        <v>3</v>
      </c>
      <c r="H172" s="1">
        <v>23742.59</v>
      </c>
      <c r="I172" t="s">
        <v>41</v>
      </c>
      <c r="J172" s="1">
        <v>71227.77</v>
      </c>
    </row>
    <row r="173" spans="1:10" x14ac:dyDescent="0.35">
      <c r="A173" s="5" t="s">
        <v>310</v>
      </c>
      <c r="B173" t="s">
        <v>311</v>
      </c>
      <c r="C173" t="s">
        <v>12</v>
      </c>
      <c r="D173" t="s">
        <v>24</v>
      </c>
      <c r="E173" t="s">
        <v>25</v>
      </c>
      <c r="F173" t="s">
        <v>24</v>
      </c>
      <c r="G173" s="7">
        <v>8</v>
      </c>
      <c r="H173" s="1">
        <v>817.26</v>
      </c>
      <c r="I173" t="s">
        <v>41</v>
      </c>
      <c r="J173" s="1">
        <v>6538.08</v>
      </c>
    </row>
    <row r="174" spans="1:10" x14ac:dyDescent="0.35">
      <c r="A174" s="5" t="s">
        <v>140</v>
      </c>
      <c r="B174" t="s">
        <v>312</v>
      </c>
      <c r="C174" t="s">
        <v>56</v>
      </c>
      <c r="D174" t="s">
        <v>19</v>
      </c>
      <c r="E174" t="s">
        <v>20</v>
      </c>
      <c r="F174" t="s">
        <v>19</v>
      </c>
      <c r="G174" s="7">
        <v>6</v>
      </c>
      <c r="H174" s="1">
        <v>31087.06</v>
      </c>
      <c r="I174" t="s">
        <v>41</v>
      </c>
      <c r="J174" s="1">
        <v>186522.36</v>
      </c>
    </row>
    <row r="175" spans="1:10" x14ac:dyDescent="0.35">
      <c r="A175" s="5" t="s">
        <v>313</v>
      </c>
      <c r="B175" t="s">
        <v>314</v>
      </c>
      <c r="C175" t="s">
        <v>35</v>
      </c>
      <c r="D175" t="s">
        <v>19</v>
      </c>
      <c r="E175" t="s">
        <v>20</v>
      </c>
      <c r="F175" t="s">
        <v>19</v>
      </c>
      <c r="G175" s="7">
        <v>7</v>
      </c>
      <c r="H175" s="1">
        <v>30087.15</v>
      </c>
      <c r="I175" t="s">
        <v>30</v>
      </c>
      <c r="J175" s="1">
        <v>210610.05</v>
      </c>
    </row>
    <row r="176" spans="1:10" x14ac:dyDescent="0.35">
      <c r="A176" s="5" t="s">
        <v>315</v>
      </c>
      <c r="B176" t="s">
        <v>316</v>
      </c>
      <c r="C176" t="s">
        <v>12</v>
      </c>
      <c r="D176" t="s">
        <v>19</v>
      </c>
      <c r="E176" t="s">
        <v>36</v>
      </c>
      <c r="F176" t="s">
        <v>19</v>
      </c>
      <c r="G176" s="7">
        <v>2</v>
      </c>
      <c r="H176" s="1">
        <v>12138.29</v>
      </c>
      <c r="I176" t="s">
        <v>30</v>
      </c>
      <c r="J176" s="1">
        <v>24276.58</v>
      </c>
    </row>
    <row r="177" spans="1:10" x14ac:dyDescent="0.35">
      <c r="A177" s="5" t="s">
        <v>140</v>
      </c>
      <c r="B177" t="s">
        <v>317</v>
      </c>
      <c r="C177" t="s">
        <v>56</v>
      </c>
      <c r="D177" t="s">
        <v>19</v>
      </c>
      <c r="E177" t="s">
        <v>36</v>
      </c>
      <c r="F177" t="s">
        <v>19</v>
      </c>
      <c r="G177" s="7">
        <v>7</v>
      </c>
      <c r="H177" s="1">
        <v>12694.9</v>
      </c>
      <c r="I177" t="s">
        <v>30</v>
      </c>
      <c r="J177" s="1">
        <v>88864.3</v>
      </c>
    </row>
    <row r="178" spans="1:10" x14ac:dyDescent="0.35">
      <c r="A178" s="5" t="s">
        <v>318</v>
      </c>
      <c r="B178" t="s">
        <v>319</v>
      </c>
      <c r="C178" t="s">
        <v>12</v>
      </c>
      <c r="D178" t="s">
        <v>24</v>
      </c>
      <c r="E178" t="s">
        <v>25</v>
      </c>
      <c r="F178" t="s">
        <v>24</v>
      </c>
      <c r="G178" s="7">
        <v>5</v>
      </c>
      <c r="H178" s="1">
        <v>831.66</v>
      </c>
      <c r="I178" t="s">
        <v>30</v>
      </c>
      <c r="J178" s="1">
        <v>4158.3</v>
      </c>
    </row>
    <row r="179" spans="1:10" x14ac:dyDescent="0.35">
      <c r="A179" s="5" t="s">
        <v>320</v>
      </c>
      <c r="B179" t="s">
        <v>321</v>
      </c>
      <c r="C179" t="s">
        <v>28</v>
      </c>
      <c r="D179" t="s">
        <v>24</v>
      </c>
      <c r="E179" t="s">
        <v>25</v>
      </c>
      <c r="F179" t="s">
        <v>24</v>
      </c>
      <c r="G179" s="7">
        <v>4</v>
      </c>
      <c r="H179" s="1">
        <v>870.23</v>
      </c>
      <c r="I179" t="s">
        <v>21</v>
      </c>
      <c r="J179" s="1">
        <v>3480.92</v>
      </c>
    </row>
    <row r="180" spans="1:10" x14ac:dyDescent="0.35">
      <c r="A180" s="5" t="s">
        <v>265</v>
      </c>
      <c r="B180" t="s">
        <v>322</v>
      </c>
      <c r="C180" t="s">
        <v>12</v>
      </c>
      <c r="D180" t="s">
        <v>19</v>
      </c>
      <c r="E180" t="s">
        <v>36</v>
      </c>
      <c r="F180" t="s">
        <v>19</v>
      </c>
      <c r="G180" s="7">
        <v>1</v>
      </c>
      <c r="H180" s="1">
        <v>13110.9</v>
      </c>
      <c r="I180" t="s">
        <v>15</v>
      </c>
      <c r="J180" s="1">
        <v>13110.9</v>
      </c>
    </row>
    <row r="181" spans="1:10" x14ac:dyDescent="0.35">
      <c r="A181" s="5" t="s">
        <v>323</v>
      </c>
      <c r="B181" t="s">
        <v>324</v>
      </c>
      <c r="C181" t="s">
        <v>28</v>
      </c>
      <c r="D181" t="s">
        <v>19</v>
      </c>
      <c r="E181" t="s">
        <v>36</v>
      </c>
      <c r="F181" t="s">
        <v>19</v>
      </c>
      <c r="G181" s="7">
        <v>3</v>
      </c>
      <c r="H181" s="1">
        <v>11441.5</v>
      </c>
      <c r="I181" t="s">
        <v>15</v>
      </c>
      <c r="J181" s="1">
        <v>34324.5</v>
      </c>
    </row>
    <row r="182" spans="1:10" x14ac:dyDescent="0.35">
      <c r="A182" s="5" t="s">
        <v>325</v>
      </c>
      <c r="B182" t="s">
        <v>326</v>
      </c>
      <c r="C182" t="s">
        <v>56</v>
      </c>
      <c r="D182" t="s">
        <v>13</v>
      </c>
      <c r="E182" t="s">
        <v>14</v>
      </c>
      <c r="F182" t="s">
        <v>13</v>
      </c>
      <c r="G182" s="7">
        <v>5</v>
      </c>
      <c r="H182" s="1">
        <v>58393.14</v>
      </c>
      <c r="I182" t="s">
        <v>41</v>
      </c>
      <c r="J182" s="1">
        <v>291965.7</v>
      </c>
    </row>
    <row r="183" spans="1:10" x14ac:dyDescent="0.35">
      <c r="A183" s="5" t="s">
        <v>168</v>
      </c>
      <c r="B183" t="s">
        <v>327</v>
      </c>
      <c r="C183" t="s">
        <v>56</v>
      </c>
      <c r="D183" t="s">
        <v>59</v>
      </c>
      <c r="E183" t="s">
        <v>60</v>
      </c>
      <c r="F183" t="s">
        <v>59</v>
      </c>
      <c r="G183" s="7">
        <v>7</v>
      </c>
      <c r="H183" s="1">
        <v>1604.14</v>
      </c>
      <c r="I183" t="s">
        <v>15</v>
      </c>
      <c r="J183" s="1">
        <v>11228.98</v>
      </c>
    </row>
    <row r="184" spans="1:10" x14ac:dyDescent="0.35">
      <c r="A184" s="5" t="s">
        <v>328</v>
      </c>
      <c r="B184" t="s">
        <v>329</v>
      </c>
      <c r="C184" t="s">
        <v>71</v>
      </c>
      <c r="D184" t="s">
        <v>59</v>
      </c>
      <c r="E184" t="s">
        <v>60</v>
      </c>
      <c r="F184" t="s">
        <v>59</v>
      </c>
      <c r="G184" s="7">
        <v>2</v>
      </c>
      <c r="H184" s="1">
        <v>1538.9</v>
      </c>
      <c r="I184" t="s">
        <v>21</v>
      </c>
      <c r="J184" s="1">
        <v>3077.8</v>
      </c>
    </row>
    <row r="185" spans="1:10" x14ac:dyDescent="0.35">
      <c r="A185" s="5" t="s">
        <v>330</v>
      </c>
      <c r="B185" t="s">
        <v>331</v>
      </c>
      <c r="C185" t="s">
        <v>28</v>
      </c>
      <c r="D185" t="s">
        <v>19</v>
      </c>
      <c r="E185" t="s">
        <v>20</v>
      </c>
      <c r="F185" t="s">
        <v>19</v>
      </c>
      <c r="G185" s="7">
        <v>2</v>
      </c>
      <c r="H185" s="1">
        <v>31341.09</v>
      </c>
      <c r="I185" t="s">
        <v>15</v>
      </c>
      <c r="J185" s="1">
        <v>62682.18</v>
      </c>
    </row>
    <row r="186" spans="1:10" x14ac:dyDescent="0.35">
      <c r="A186" s="5" t="s">
        <v>155</v>
      </c>
      <c r="B186" t="s">
        <v>332</v>
      </c>
      <c r="C186" t="s">
        <v>12</v>
      </c>
      <c r="D186" t="s">
        <v>13</v>
      </c>
      <c r="E186" t="s">
        <v>29</v>
      </c>
      <c r="F186" t="s">
        <v>13</v>
      </c>
      <c r="G186" s="7">
        <v>3</v>
      </c>
      <c r="H186" s="1">
        <v>23414.16</v>
      </c>
      <c r="I186" t="s">
        <v>41</v>
      </c>
      <c r="J186" s="1">
        <v>70242.48</v>
      </c>
    </row>
    <row r="187" spans="1:10" x14ac:dyDescent="0.35">
      <c r="A187" s="5" t="s">
        <v>333</v>
      </c>
      <c r="B187" t="s">
        <v>334</v>
      </c>
      <c r="C187" t="s">
        <v>18</v>
      </c>
      <c r="D187" t="s">
        <v>19</v>
      </c>
      <c r="E187" t="s">
        <v>20</v>
      </c>
      <c r="F187" t="s">
        <v>19</v>
      </c>
      <c r="G187" s="7">
        <v>8</v>
      </c>
      <c r="H187" s="1">
        <v>28942.02</v>
      </c>
      <c r="I187" t="s">
        <v>41</v>
      </c>
      <c r="J187" s="1">
        <v>231536.16</v>
      </c>
    </row>
    <row r="188" spans="1:10" x14ac:dyDescent="0.35">
      <c r="A188" s="5" t="s">
        <v>335</v>
      </c>
      <c r="B188" t="s">
        <v>336</v>
      </c>
      <c r="C188" t="s">
        <v>28</v>
      </c>
      <c r="D188" t="s">
        <v>13</v>
      </c>
      <c r="E188" t="s">
        <v>14</v>
      </c>
      <c r="F188" t="s">
        <v>13</v>
      </c>
      <c r="G188" s="7">
        <v>6</v>
      </c>
      <c r="H188" s="1">
        <v>60225.02</v>
      </c>
      <c r="I188" t="s">
        <v>30</v>
      </c>
      <c r="J188" s="1">
        <v>361350.12</v>
      </c>
    </row>
    <row r="189" spans="1:10" x14ac:dyDescent="0.35">
      <c r="A189" s="5" t="s">
        <v>22</v>
      </c>
      <c r="B189" t="s">
        <v>337</v>
      </c>
      <c r="C189" t="s">
        <v>56</v>
      </c>
      <c r="D189" t="s">
        <v>13</v>
      </c>
      <c r="E189" t="s">
        <v>14</v>
      </c>
      <c r="F189" t="s">
        <v>13</v>
      </c>
      <c r="G189" s="7">
        <v>2</v>
      </c>
      <c r="H189" s="1">
        <v>59755.69</v>
      </c>
      <c r="I189" t="s">
        <v>30</v>
      </c>
      <c r="J189" s="1">
        <v>119511.38</v>
      </c>
    </row>
    <row r="190" spans="1:10" x14ac:dyDescent="0.35">
      <c r="A190" s="5" t="s">
        <v>338</v>
      </c>
      <c r="B190" t="s">
        <v>339</v>
      </c>
      <c r="C190" t="s">
        <v>56</v>
      </c>
      <c r="D190" t="s">
        <v>19</v>
      </c>
      <c r="E190" t="s">
        <v>20</v>
      </c>
      <c r="F190" t="s">
        <v>19</v>
      </c>
      <c r="G190" s="7">
        <v>1</v>
      </c>
      <c r="H190" s="1">
        <v>28556.27</v>
      </c>
      <c r="I190" t="s">
        <v>15</v>
      </c>
      <c r="J190" s="1">
        <v>28556.27</v>
      </c>
    </row>
    <row r="191" spans="1:10" x14ac:dyDescent="0.35">
      <c r="A191" s="5" t="s">
        <v>340</v>
      </c>
      <c r="B191" t="s">
        <v>341</v>
      </c>
      <c r="C191" t="s">
        <v>35</v>
      </c>
      <c r="D191" t="s">
        <v>24</v>
      </c>
      <c r="E191" t="s">
        <v>25</v>
      </c>
      <c r="F191" t="s">
        <v>24</v>
      </c>
      <c r="G191" s="7">
        <v>7</v>
      </c>
      <c r="H191" s="1">
        <v>744.33</v>
      </c>
      <c r="I191" t="s">
        <v>21</v>
      </c>
      <c r="J191" s="1">
        <v>5210.3100000000004</v>
      </c>
    </row>
    <row r="192" spans="1:10" x14ac:dyDescent="0.35">
      <c r="A192" s="5" t="s">
        <v>210</v>
      </c>
      <c r="B192" t="s">
        <v>342</v>
      </c>
      <c r="C192" t="s">
        <v>56</v>
      </c>
      <c r="D192" t="s">
        <v>19</v>
      </c>
      <c r="E192" t="s">
        <v>36</v>
      </c>
      <c r="F192" t="s">
        <v>19</v>
      </c>
      <c r="G192" s="7">
        <v>7</v>
      </c>
      <c r="H192" s="1">
        <v>12895.39</v>
      </c>
      <c r="I192" t="s">
        <v>41</v>
      </c>
      <c r="J192" s="1">
        <v>90267.73</v>
      </c>
    </row>
    <row r="193" spans="1:10" x14ac:dyDescent="0.35">
      <c r="A193" s="5" t="s">
        <v>37</v>
      </c>
      <c r="B193" t="s">
        <v>343</v>
      </c>
      <c r="C193" t="s">
        <v>56</v>
      </c>
      <c r="D193" t="s">
        <v>19</v>
      </c>
      <c r="E193" t="s">
        <v>36</v>
      </c>
      <c r="F193" t="s">
        <v>19</v>
      </c>
      <c r="G193" s="7">
        <v>7</v>
      </c>
      <c r="H193" s="1">
        <v>12074.43</v>
      </c>
      <c r="I193" t="s">
        <v>30</v>
      </c>
      <c r="J193" s="1">
        <v>84521.01</v>
      </c>
    </row>
    <row r="194" spans="1:10" x14ac:dyDescent="0.35">
      <c r="A194" s="5" t="s">
        <v>46</v>
      </c>
      <c r="B194" t="s">
        <v>344</v>
      </c>
      <c r="C194" t="s">
        <v>35</v>
      </c>
      <c r="D194" t="s">
        <v>19</v>
      </c>
      <c r="E194" t="s">
        <v>20</v>
      </c>
      <c r="F194" t="s">
        <v>19</v>
      </c>
      <c r="G194" s="7">
        <v>7</v>
      </c>
      <c r="H194" s="1">
        <v>30408.13</v>
      </c>
      <c r="I194" t="s">
        <v>21</v>
      </c>
      <c r="J194" s="1">
        <v>212856.91</v>
      </c>
    </row>
    <row r="195" spans="1:10" x14ac:dyDescent="0.35">
      <c r="A195" s="5" t="s">
        <v>345</v>
      </c>
      <c r="B195" t="s">
        <v>346</v>
      </c>
      <c r="C195" t="s">
        <v>18</v>
      </c>
      <c r="D195" t="s">
        <v>19</v>
      </c>
      <c r="E195" t="s">
        <v>36</v>
      </c>
      <c r="F195" t="s">
        <v>19</v>
      </c>
      <c r="G195" s="7">
        <v>10</v>
      </c>
      <c r="H195" s="1">
        <v>11492.83</v>
      </c>
      <c r="I195" t="s">
        <v>30</v>
      </c>
      <c r="J195" s="1">
        <v>114928.3</v>
      </c>
    </row>
    <row r="196" spans="1:10" x14ac:dyDescent="0.35">
      <c r="A196" s="5" t="s">
        <v>347</v>
      </c>
      <c r="B196" t="s">
        <v>348</v>
      </c>
      <c r="C196" t="s">
        <v>35</v>
      </c>
      <c r="D196" t="s">
        <v>13</v>
      </c>
      <c r="E196" t="s">
        <v>14</v>
      </c>
      <c r="F196" t="s">
        <v>13</v>
      </c>
      <c r="G196" s="7">
        <v>7</v>
      </c>
      <c r="H196" s="1">
        <v>53116.73</v>
      </c>
      <c r="I196" t="s">
        <v>41</v>
      </c>
      <c r="J196" s="1">
        <v>371817.11</v>
      </c>
    </row>
    <row r="197" spans="1:10" x14ac:dyDescent="0.35">
      <c r="A197" s="5" t="s">
        <v>194</v>
      </c>
      <c r="B197" t="s">
        <v>349</v>
      </c>
      <c r="C197" t="s">
        <v>56</v>
      </c>
      <c r="D197" t="s">
        <v>24</v>
      </c>
      <c r="E197" t="s">
        <v>25</v>
      </c>
      <c r="F197" t="s">
        <v>24</v>
      </c>
      <c r="G197" s="7">
        <v>10</v>
      </c>
      <c r="H197" s="1">
        <v>764.96</v>
      </c>
      <c r="I197" t="s">
        <v>30</v>
      </c>
      <c r="J197" s="1">
        <v>7649.6</v>
      </c>
    </row>
    <row r="198" spans="1:10" x14ac:dyDescent="0.35">
      <c r="A198" s="5" t="s">
        <v>347</v>
      </c>
      <c r="B198" t="s">
        <v>350</v>
      </c>
      <c r="C198" t="s">
        <v>12</v>
      </c>
      <c r="D198" t="s">
        <v>19</v>
      </c>
      <c r="E198" t="s">
        <v>36</v>
      </c>
      <c r="F198" t="s">
        <v>19</v>
      </c>
      <c r="G198" s="7">
        <v>5</v>
      </c>
      <c r="H198" s="1">
        <v>12947.27</v>
      </c>
      <c r="I198" t="s">
        <v>15</v>
      </c>
      <c r="J198" s="1">
        <v>64736.35</v>
      </c>
    </row>
    <row r="199" spans="1:10" x14ac:dyDescent="0.35">
      <c r="A199" s="5" t="s">
        <v>351</v>
      </c>
      <c r="B199" t="s">
        <v>352</v>
      </c>
      <c r="C199" t="s">
        <v>56</v>
      </c>
      <c r="D199" t="s">
        <v>13</v>
      </c>
      <c r="E199" t="s">
        <v>29</v>
      </c>
      <c r="F199" t="s">
        <v>13</v>
      </c>
      <c r="G199" s="7">
        <v>7</v>
      </c>
      <c r="H199" s="1">
        <v>24947.599999999999</v>
      </c>
      <c r="I199" t="s">
        <v>41</v>
      </c>
      <c r="J199" s="1">
        <v>174633.2</v>
      </c>
    </row>
    <row r="200" spans="1:10" x14ac:dyDescent="0.35">
      <c r="A200" s="5" t="s">
        <v>179</v>
      </c>
      <c r="B200" t="s">
        <v>353</v>
      </c>
      <c r="C200" t="s">
        <v>35</v>
      </c>
      <c r="D200" t="s">
        <v>19</v>
      </c>
      <c r="E200" t="s">
        <v>36</v>
      </c>
      <c r="F200" t="s">
        <v>19</v>
      </c>
      <c r="G200" s="7">
        <v>5</v>
      </c>
      <c r="H200" s="1">
        <v>10859.15</v>
      </c>
      <c r="I200" t="s">
        <v>41</v>
      </c>
      <c r="J200" s="1">
        <v>54295.75</v>
      </c>
    </row>
    <row r="201" spans="1:10" x14ac:dyDescent="0.35">
      <c r="A201" s="5" t="s">
        <v>354</v>
      </c>
      <c r="B201" t="s">
        <v>355</v>
      </c>
      <c r="C201" t="s">
        <v>35</v>
      </c>
      <c r="D201" t="s">
        <v>19</v>
      </c>
      <c r="E201" t="s">
        <v>20</v>
      </c>
      <c r="F201" t="s">
        <v>19</v>
      </c>
      <c r="G201" s="7">
        <v>4</v>
      </c>
      <c r="H201" s="1">
        <v>29764.18</v>
      </c>
      <c r="I201" t="s">
        <v>30</v>
      </c>
      <c r="J201" s="1">
        <v>119056.72</v>
      </c>
    </row>
    <row r="202" spans="1:10" x14ac:dyDescent="0.35">
      <c r="A202" s="5" t="s">
        <v>79</v>
      </c>
      <c r="B202" t="s">
        <v>356</v>
      </c>
      <c r="C202" t="s">
        <v>28</v>
      </c>
      <c r="D202" t="s">
        <v>19</v>
      </c>
      <c r="E202" t="s">
        <v>20</v>
      </c>
      <c r="F202" t="s">
        <v>19</v>
      </c>
      <c r="G202" s="7">
        <v>3</v>
      </c>
      <c r="H202" s="1">
        <v>31670.89</v>
      </c>
      <c r="I202" t="s">
        <v>30</v>
      </c>
      <c r="J202" s="1">
        <v>95012.67</v>
      </c>
    </row>
    <row r="203" spans="1:10" x14ac:dyDescent="0.35">
      <c r="A203" s="5" t="s">
        <v>140</v>
      </c>
      <c r="B203" t="s">
        <v>357</v>
      </c>
      <c r="C203" t="s">
        <v>18</v>
      </c>
      <c r="D203" t="s">
        <v>59</v>
      </c>
      <c r="E203" t="s">
        <v>60</v>
      </c>
      <c r="F203" t="s">
        <v>59</v>
      </c>
      <c r="G203" s="7">
        <v>6</v>
      </c>
      <c r="H203" s="1">
        <v>1490.01</v>
      </c>
      <c r="I203" t="s">
        <v>21</v>
      </c>
      <c r="J203" s="1">
        <v>8940.06</v>
      </c>
    </row>
    <row r="204" spans="1:10" x14ac:dyDescent="0.35">
      <c r="A204" s="5" t="s">
        <v>354</v>
      </c>
      <c r="B204" t="s">
        <v>358</v>
      </c>
      <c r="C204" t="s">
        <v>12</v>
      </c>
      <c r="D204" t="s">
        <v>13</v>
      </c>
      <c r="E204" t="s">
        <v>14</v>
      </c>
      <c r="F204" t="s">
        <v>13</v>
      </c>
      <c r="G204" s="7">
        <v>5</v>
      </c>
      <c r="H204" s="1">
        <v>54190.400000000001</v>
      </c>
      <c r="I204" t="s">
        <v>15</v>
      </c>
      <c r="J204" s="1">
        <v>270952</v>
      </c>
    </row>
    <row r="205" spans="1:10" x14ac:dyDescent="0.35">
      <c r="A205" s="5" t="s">
        <v>257</v>
      </c>
      <c r="B205" t="s">
        <v>359</v>
      </c>
      <c r="C205" t="s">
        <v>56</v>
      </c>
      <c r="D205" t="s">
        <v>24</v>
      </c>
      <c r="E205" t="s">
        <v>25</v>
      </c>
      <c r="F205" t="s">
        <v>24</v>
      </c>
      <c r="G205" s="7">
        <v>6</v>
      </c>
      <c r="H205" s="1">
        <v>793.7</v>
      </c>
      <c r="I205" t="s">
        <v>15</v>
      </c>
      <c r="J205" s="1">
        <v>4762.2</v>
      </c>
    </row>
    <row r="206" spans="1:10" x14ac:dyDescent="0.35">
      <c r="A206" s="5" t="s">
        <v>212</v>
      </c>
      <c r="B206" t="s">
        <v>360</v>
      </c>
      <c r="C206" t="s">
        <v>28</v>
      </c>
      <c r="D206" t="s">
        <v>13</v>
      </c>
      <c r="E206" t="s">
        <v>29</v>
      </c>
      <c r="F206" t="s">
        <v>13</v>
      </c>
      <c r="G206" s="7">
        <v>5</v>
      </c>
      <c r="H206" s="1">
        <v>24629.98</v>
      </c>
      <c r="I206" t="s">
        <v>41</v>
      </c>
      <c r="J206" s="1">
        <v>123149.9</v>
      </c>
    </row>
    <row r="207" spans="1:10" x14ac:dyDescent="0.35">
      <c r="A207" s="5" t="s">
        <v>347</v>
      </c>
      <c r="B207" t="s">
        <v>361</v>
      </c>
      <c r="C207" t="s">
        <v>35</v>
      </c>
      <c r="D207" t="s">
        <v>59</v>
      </c>
      <c r="E207" t="s">
        <v>60</v>
      </c>
      <c r="F207" t="s">
        <v>59</v>
      </c>
      <c r="G207" s="7">
        <v>8</v>
      </c>
      <c r="H207" s="1">
        <v>1403.54</v>
      </c>
      <c r="I207" t="s">
        <v>15</v>
      </c>
      <c r="J207" s="1">
        <v>11228.32</v>
      </c>
    </row>
    <row r="208" spans="1:10" x14ac:dyDescent="0.35">
      <c r="A208" s="5" t="s">
        <v>166</v>
      </c>
      <c r="B208" t="s">
        <v>362</v>
      </c>
      <c r="C208" t="s">
        <v>12</v>
      </c>
      <c r="D208" t="s">
        <v>19</v>
      </c>
      <c r="E208" t="s">
        <v>36</v>
      </c>
      <c r="F208" t="s">
        <v>19</v>
      </c>
      <c r="G208" s="7">
        <v>1</v>
      </c>
      <c r="H208" s="1">
        <v>12179.91</v>
      </c>
      <c r="I208" t="s">
        <v>15</v>
      </c>
      <c r="J208" s="1">
        <v>12179.91</v>
      </c>
    </row>
    <row r="209" spans="1:10" x14ac:dyDescent="0.35">
      <c r="A209" s="5" t="s">
        <v>363</v>
      </c>
      <c r="B209" t="s">
        <v>364</v>
      </c>
      <c r="C209" t="s">
        <v>71</v>
      </c>
      <c r="D209" t="s">
        <v>19</v>
      </c>
      <c r="E209" t="s">
        <v>20</v>
      </c>
      <c r="F209" t="s">
        <v>19</v>
      </c>
      <c r="G209" s="7">
        <v>7</v>
      </c>
      <c r="H209" s="1">
        <v>30401.53</v>
      </c>
      <c r="I209" t="s">
        <v>41</v>
      </c>
      <c r="J209" s="1">
        <v>212810.71</v>
      </c>
    </row>
    <row r="210" spans="1:10" x14ac:dyDescent="0.35">
      <c r="A210" s="5" t="s">
        <v>100</v>
      </c>
      <c r="B210" t="s">
        <v>365</v>
      </c>
      <c r="C210" t="s">
        <v>56</v>
      </c>
      <c r="D210" t="s">
        <v>19</v>
      </c>
      <c r="E210" t="s">
        <v>20</v>
      </c>
      <c r="F210" t="s">
        <v>19</v>
      </c>
      <c r="G210" s="7">
        <v>1</v>
      </c>
      <c r="H210" s="1">
        <v>31490.76</v>
      </c>
      <c r="I210" t="s">
        <v>41</v>
      </c>
      <c r="J210" s="1">
        <v>31490.76</v>
      </c>
    </row>
    <row r="211" spans="1:10" x14ac:dyDescent="0.35">
      <c r="A211" s="5" t="s">
        <v>33</v>
      </c>
      <c r="B211" t="s">
        <v>366</v>
      </c>
      <c r="C211" t="s">
        <v>18</v>
      </c>
      <c r="D211" t="s">
        <v>19</v>
      </c>
      <c r="E211" t="s">
        <v>36</v>
      </c>
      <c r="F211" t="s">
        <v>19</v>
      </c>
      <c r="G211" s="7">
        <v>9</v>
      </c>
      <c r="H211" s="1">
        <v>12705.47</v>
      </c>
      <c r="I211" t="s">
        <v>41</v>
      </c>
      <c r="J211" s="1">
        <v>114349.23</v>
      </c>
    </row>
    <row r="212" spans="1:10" x14ac:dyDescent="0.35">
      <c r="A212" s="5" t="s">
        <v>367</v>
      </c>
      <c r="B212" t="s">
        <v>368</v>
      </c>
      <c r="C212" t="s">
        <v>18</v>
      </c>
      <c r="D212" t="s">
        <v>59</v>
      </c>
      <c r="E212" t="s">
        <v>60</v>
      </c>
      <c r="F212" t="s">
        <v>59</v>
      </c>
      <c r="G212" s="7">
        <v>1</v>
      </c>
      <c r="H212" s="1">
        <v>1483.76</v>
      </c>
      <c r="I212" t="s">
        <v>30</v>
      </c>
      <c r="J212" s="1">
        <v>1483.76</v>
      </c>
    </row>
    <row r="213" spans="1:10" x14ac:dyDescent="0.35">
      <c r="A213" s="5" t="s">
        <v>363</v>
      </c>
      <c r="B213" t="s">
        <v>369</v>
      </c>
      <c r="C213" t="s">
        <v>56</v>
      </c>
      <c r="D213" t="s">
        <v>19</v>
      </c>
      <c r="E213" t="s">
        <v>36</v>
      </c>
      <c r="F213" t="s">
        <v>19</v>
      </c>
      <c r="G213" s="7">
        <v>1</v>
      </c>
      <c r="H213" s="1">
        <v>11867.66</v>
      </c>
      <c r="I213" t="s">
        <v>15</v>
      </c>
      <c r="J213" s="1">
        <v>11867.66</v>
      </c>
    </row>
    <row r="214" spans="1:10" x14ac:dyDescent="0.35">
      <c r="A214" s="5" t="s">
        <v>370</v>
      </c>
      <c r="B214" t="s">
        <v>371</v>
      </c>
      <c r="C214" t="s">
        <v>56</v>
      </c>
      <c r="D214" t="s">
        <v>19</v>
      </c>
      <c r="E214" t="s">
        <v>20</v>
      </c>
      <c r="F214" t="s">
        <v>19</v>
      </c>
      <c r="G214" s="7">
        <v>10</v>
      </c>
      <c r="H214" s="1">
        <v>28542.62</v>
      </c>
      <c r="I214" t="s">
        <v>21</v>
      </c>
      <c r="J214" s="1">
        <v>285426.2</v>
      </c>
    </row>
    <row r="215" spans="1:10" x14ac:dyDescent="0.35">
      <c r="A215" s="5" t="s">
        <v>372</v>
      </c>
      <c r="B215" t="s">
        <v>373</v>
      </c>
      <c r="C215" t="s">
        <v>71</v>
      </c>
      <c r="D215" t="s">
        <v>19</v>
      </c>
      <c r="E215" t="s">
        <v>36</v>
      </c>
      <c r="F215" t="s">
        <v>19</v>
      </c>
      <c r="G215" s="7">
        <v>9</v>
      </c>
      <c r="H215" s="1">
        <v>10818.82</v>
      </c>
      <c r="I215" t="s">
        <v>15</v>
      </c>
      <c r="J215" s="1">
        <v>97369.38</v>
      </c>
    </row>
    <row r="216" spans="1:10" x14ac:dyDescent="0.35">
      <c r="A216" s="5" t="s">
        <v>108</v>
      </c>
      <c r="B216" t="s">
        <v>374</v>
      </c>
      <c r="C216" t="s">
        <v>71</v>
      </c>
      <c r="D216" t="s">
        <v>59</v>
      </c>
      <c r="E216" t="s">
        <v>60</v>
      </c>
      <c r="F216" t="s">
        <v>59</v>
      </c>
      <c r="G216" s="7">
        <v>8</v>
      </c>
      <c r="H216" s="1">
        <v>1406.75</v>
      </c>
      <c r="I216" t="s">
        <v>30</v>
      </c>
      <c r="J216" s="1">
        <v>11254</v>
      </c>
    </row>
    <row r="217" spans="1:10" x14ac:dyDescent="0.35">
      <c r="A217" s="5" t="s">
        <v>375</v>
      </c>
      <c r="B217" t="s">
        <v>376</v>
      </c>
      <c r="C217" t="s">
        <v>56</v>
      </c>
      <c r="D217" t="s">
        <v>13</v>
      </c>
      <c r="E217" t="s">
        <v>14</v>
      </c>
      <c r="F217" t="s">
        <v>13</v>
      </c>
      <c r="G217" s="7">
        <v>9</v>
      </c>
      <c r="H217" s="1">
        <v>52727.38</v>
      </c>
      <c r="I217" t="s">
        <v>15</v>
      </c>
      <c r="J217" s="1">
        <v>474546.42</v>
      </c>
    </row>
    <row r="218" spans="1:10" x14ac:dyDescent="0.35">
      <c r="A218" s="5" t="s">
        <v>61</v>
      </c>
      <c r="B218" t="s">
        <v>377</v>
      </c>
      <c r="C218" t="s">
        <v>71</v>
      </c>
      <c r="D218" t="s">
        <v>13</v>
      </c>
      <c r="E218" t="s">
        <v>14</v>
      </c>
      <c r="F218" t="s">
        <v>13</v>
      </c>
      <c r="G218" s="7">
        <v>8</v>
      </c>
      <c r="H218" s="1">
        <v>51557.59</v>
      </c>
      <c r="I218" t="s">
        <v>15</v>
      </c>
      <c r="J218" s="1">
        <v>412460.72</v>
      </c>
    </row>
    <row r="219" spans="1:10" x14ac:dyDescent="0.35">
      <c r="A219" s="5" t="s">
        <v>351</v>
      </c>
      <c r="B219" t="s">
        <v>378</v>
      </c>
      <c r="C219" t="s">
        <v>18</v>
      </c>
      <c r="D219" t="s">
        <v>19</v>
      </c>
      <c r="E219" t="s">
        <v>20</v>
      </c>
      <c r="F219" t="s">
        <v>19</v>
      </c>
      <c r="G219" s="7">
        <v>5</v>
      </c>
      <c r="H219" s="1">
        <v>31099.09</v>
      </c>
      <c r="I219" t="s">
        <v>41</v>
      </c>
      <c r="J219" s="1">
        <v>155495.45000000001</v>
      </c>
    </row>
    <row r="220" spans="1:10" x14ac:dyDescent="0.35">
      <c r="A220" s="5" t="s">
        <v>117</v>
      </c>
      <c r="B220" t="s">
        <v>379</v>
      </c>
      <c r="C220" t="s">
        <v>35</v>
      </c>
      <c r="D220" t="s">
        <v>24</v>
      </c>
      <c r="E220" t="s">
        <v>25</v>
      </c>
      <c r="F220" t="s">
        <v>24</v>
      </c>
      <c r="G220" s="7">
        <v>7</v>
      </c>
      <c r="H220" s="1">
        <v>747.29</v>
      </c>
      <c r="I220" t="s">
        <v>15</v>
      </c>
      <c r="J220" s="1">
        <v>5231.03</v>
      </c>
    </row>
    <row r="221" spans="1:10" x14ac:dyDescent="0.35">
      <c r="A221" s="5" t="s">
        <v>77</v>
      </c>
      <c r="B221" t="s">
        <v>380</v>
      </c>
      <c r="C221" t="s">
        <v>56</v>
      </c>
      <c r="D221" t="s">
        <v>13</v>
      </c>
      <c r="E221" t="s">
        <v>14</v>
      </c>
      <c r="F221" t="s">
        <v>13</v>
      </c>
      <c r="G221" s="7">
        <v>7</v>
      </c>
      <c r="H221" s="1">
        <v>51067.15</v>
      </c>
      <c r="I221" t="s">
        <v>15</v>
      </c>
      <c r="J221" s="1">
        <v>357470.05</v>
      </c>
    </row>
    <row r="222" spans="1:10" x14ac:dyDescent="0.35">
      <c r="A222" s="5" t="s">
        <v>201</v>
      </c>
      <c r="B222" t="s">
        <v>381</v>
      </c>
      <c r="C222" t="s">
        <v>18</v>
      </c>
      <c r="D222" t="s">
        <v>13</v>
      </c>
      <c r="E222" t="s">
        <v>14</v>
      </c>
      <c r="F222" t="s">
        <v>13</v>
      </c>
      <c r="G222" s="7">
        <v>10</v>
      </c>
      <c r="H222" s="1">
        <v>59970.22</v>
      </c>
      <c r="I222" t="s">
        <v>41</v>
      </c>
      <c r="J222" s="1">
        <v>599702.19999999995</v>
      </c>
    </row>
    <row r="223" spans="1:10" x14ac:dyDescent="0.35">
      <c r="A223" s="5" t="s">
        <v>79</v>
      </c>
      <c r="B223" t="s">
        <v>382</v>
      </c>
      <c r="C223" t="s">
        <v>28</v>
      </c>
      <c r="D223" t="s">
        <v>59</v>
      </c>
      <c r="E223" t="s">
        <v>60</v>
      </c>
      <c r="F223" t="s">
        <v>59</v>
      </c>
      <c r="G223" s="7">
        <v>3</v>
      </c>
      <c r="H223" s="1">
        <v>1410.03</v>
      </c>
      <c r="I223" t="s">
        <v>15</v>
      </c>
      <c r="J223" s="1">
        <v>4230.09</v>
      </c>
    </row>
    <row r="224" spans="1:10" x14ac:dyDescent="0.35">
      <c r="A224" s="5" t="s">
        <v>383</v>
      </c>
      <c r="B224" t="s">
        <v>384</v>
      </c>
      <c r="C224" t="s">
        <v>18</v>
      </c>
      <c r="D224" t="s">
        <v>13</v>
      </c>
      <c r="E224" t="s">
        <v>29</v>
      </c>
      <c r="F224" t="s">
        <v>13</v>
      </c>
      <c r="G224" s="7">
        <v>5</v>
      </c>
      <c r="H224" s="1">
        <v>27145.03</v>
      </c>
      <c r="I224" t="s">
        <v>15</v>
      </c>
      <c r="J224" s="1">
        <v>135725.15</v>
      </c>
    </row>
    <row r="225" spans="1:10" x14ac:dyDescent="0.35">
      <c r="A225" s="5" t="s">
        <v>85</v>
      </c>
      <c r="B225" t="s">
        <v>385</v>
      </c>
      <c r="C225" t="s">
        <v>18</v>
      </c>
      <c r="D225" t="s">
        <v>19</v>
      </c>
      <c r="E225" t="s">
        <v>36</v>
      </c>
      <c r="F225" t="s">
        <v>19</v>
      </c>
      <c r="G225" s="7">
        <v>3</v>
      </c>
      <c r="H225" s="1">
        <v>12278.28</v>
      </c>
      <c r="I225" t="s">
        <v>41</v>
      </c>
      <c r="J225" s="1">
        <v>36834.839999999997</v>
      </c>
    </row>
    <row r="226" spans="1:10" x14ac:dyDescent="0.35">
      <c r="A226" s="5" t="s">
        <v>215</v>
      </c>
      <c r="B226" t="s">
        <v>386</v>
      </c>
      <c r="C226" t="s">
        <v>12</v>
      </c>
      <c r="D226" t="s">
        <v>19</v>
      </c>
      <c r="E226" t="s">
        <v>36</v>
      </c>
      <c r="F226" t="s">
        <v>19</v>
      </c>
      <c r="G226" s="7">
        <v>3</v>
      </c>
      <c r="H226" s="1">
        <v>12809.27</v>
      </c>
      <c r="I226" t="s">
        <v>30</v>
      </c>
      <c r="J226" s="1">
        <v>38427.81</v>
      </c>
    </row>
    <row r="227" spans="1:10" x14ac:dyDescent="0.35">
      <c r="A227" s="5" t="s">
        <v>387</v>
      </c>
      <c r="B227" t="s">
        <v>388</v>
      </c>
      <c r="C227" t="s">
        <v>71</v>
      </c>
      <c r="D227" t="s">
        <v>19</v>
      </c>
      <c r="E227" t="s">
        <v>20</v>
      </c>
      <c r="F227" t="s">
        <v>19</v>
      </c>
      <c r="G227" s="7">
        <v>3</v>
      </c>
      <c r="H227" s="1">
        <v>27175.32</v>
      </c>
      <c r="I227" t="s">
        <v>21</v>
      </c>
      <c r="J227" s="1">
        <v>81525.960000000006</v>
      </c>
    </row>
    <row r="228" spans="1:10" x14ac:dyDescent="0.35">
      <c r="A228" s="5" t="s">
        <v>83</v>
      </c>
      <c r="B228" t="s">
        <v>389</v>
      </c>
      <c r="C228" t="s">
        <v>35</v>
      </c>
      <c r="D228" t="s">
        <v>19</v>
      </c>
      <c r="E228" t="s">
        <v>36</v>
      </c>
      <c r="F228" t="s">
        <v>19</v>
      </c>
      <c r="G228" s="7">
        <v>3</v>
      </c>
      <c r="H228" s="1">
        <v>11617.48</v>
      </c>
      <c r="I228" t="s">
        <v>15</v>
      </c>
      <c r="J228" s="1">
        <v>34852.44</v>
      </c>
    </row>
    <row r="229" spans="1:10" x14ac:dyDescent="0.35">
      <c r="A229" s="5" t="s">
        <v>390</v>
      </c>
      <c r="B229" t="s">
        <v>391</v>
      </c>
      <c r="C229" t="s">
        <v>71</v>
      </c>
      <c r="D229" t="s">
        <v>13</v>
      </c>
      <c r="E229" t="s">
        <v>14</v>
      </c>
      <c r="F229" t="s">
        <v>13</v>
      </c>
      <c r="G229" s="7">
        <v>10</v>
      </c>
      <c r="H229" s="1">
        <v>50794.33</v>
      </c>
      <c r="I229" t="s">
        <v>15</v>
      </c>
      <c r="J229" s="1">
        <v>507943.3</v>
      </c>
    </row>
    <row r="230" spans="1:10" x14ac:dyDescent="0.35">
      <c r="A230" s="5" t="s">
        <v>236</v>
      </c>
      <c r="B230" t="s">
        <v>392</v>
      </c>
      <c r="C230" t="s">
        <v>28</v>
      </c>
      <c r="D230" t="s">
        <v>59</v>
      </c>
      <c r="E230" t="s">
        <v>60</v>
      </c>
      <c r="F230" t="s">
        <v>59</v>
      </c>
      <c r="G230" s="7">
        <v>2</v>
      </c>
      <c r="H230" s="1">
        <v>1476.45</v>
      </c>
      <c r="I230" t="s">
        <v>41</v>
      </c>
      <c r="J230" s="1">
        <v>2952.9</v>
      </c>
    </row>
    <row r="231" spans="1:10" x14ac:dyDescent="0.35">
      <c r="A231" s="5" t="s">
        <v>393</v>
      </c>
      <c r="B231" t="s">
        <v>394</v>
      </c>
      <c r="C231" t="s">
        <v>18</v>
      </c>
      <c r="D231" t="s">
        <v>13</v>
      </c>
      <c r="E231" t="s">
        <v>29</v>
      </c>
      <c r="F231" t="s">
        <v>13</v>
      </c>
      <c r="G231" s="7">
        <v>1</v>
      </c>
      <c r="H231" s="1">
        <v>26912.46</v>
      </c>
      <c r="I231" t="s">
        <v>21</v>
      </c>
      <c r="J231" s="1">
        <v>26912.46</v>
      </c>
    </row>
    <row r="232" spans="1:10" x14ac:dyDescent="0.35">
      <c r="A232" s="5" t="s">
        <v>280</v>
      </c>
      <c r="B232" t="s">
        <v>395</v>
      </c>
      <c r="C232" t="s">
        <v>35</v>
      </c>
      <c r="D232" t="s">
        <v>59</v>
      </c>
      <c r="E232" t="s">
        <v>60</v>
      </c>
      <c r="F232" t="s">
        <v>59</v>
      </c>
      <c r="G232" s="7">
        <v>4</v>
      </c>
      <c r="H232" s="1">
        <v>1564.44</v>
      </c>
      <c r="I232" t="s">
        <v>21</v>
      </c>
      <c r="J232" s="1">
        <v>6257.76</v>
      </c>
    </row>
    <row r="233" spans="1:10" x14ac:dyDescent="0.35">
      <c r="A233" s="5" t="s">
        <v>194</v>
      </c>
      <c r="B233" t="s">
        <v>396</v>
      </c>
      <c r="C233" t="s">
        <v>28</v>
      </c>
      <c r="D233" t="s">
        <v>24</v>
      </c>
      <c r="E233" t="s">
        <v>25</v>
      </c>
      <c r="F233" t="s">
        <v>24</v>
      </c>
      <c r="G233" s="7">
        <v>3</v>
      </c>
      <c r="H233" s="1">
        <v>804.51</v>
      </c>
      <c r="I233" t="s">
        <v>30</v>
      </c>
      <c r="J233" s="1">
        <v>2413.5300000000002</v>
      </c>
    </row>
    <row r="234" spans="1:10" x14ac:dyDescent="0.35">
      <c r="A234" s="5" t="s">
        <v>102</v>
      </c>
      <c r="B234" t="s">
        <v>397</v>
      </c>
      <c r="C234" t="s">
        <v>56</v>
      </c>
      <c r="D234" t="s">
        <v>13</v>
      </c>
      <c r="E234" t="s">
        <v>14</v>
      </c>
      <c r="F234" t="s">
        <v>13</v>
      </c>
      <c r="G234" s="7">
        <v>6</v>
      </c>
      <c r="H234" s="1">
        <v>51220.19</v>
      </c>
      <c r="I234" t="s">
        <v>15</v>
      </c>
      <c r="J234" s="1">
        <v>307321.14</v>
      </c>
    </row>
    <row r="235" spans="1:10" x14ac:dyDescent="0.35">
      <c r="A235" s="5" t="s">
        <v>50</v>
      </c>
      <c r="B235" t="s">
        <v>398</v>
      </c>
      <c r="C235" t="s">
        <v>71</v>
      </c>
      <c r="D235" t="s">
        <v>13</v>
      </c>
      <c r="E235" t="s">
        <v>29</v>
      </c>
      <c r="F235" t="s">
        <v>13</v>
      </c>
      <c r="G235" s="7">
        <v>7</v>
      </c>
      <c r="H235" s="1">
        <v>23738.31</v>
      </c>
      <c r="I235" t="s">
        <v>15</v>
      </c>
      <c r="J235" s="1">
        <v>166168.17000000001</v>
      </c>
    </row>
    <row r="236" spans="1:10" x14ac:dyDescent="0.35">
      <c r="A236" s="5" t="s">
        <v>399</v>
      </c>
      <c r="B236" t="s">
        <v>400</v>
      </c>
      <c r="C236" t="s">
        <v>28</v>
      </c>
      <c r="D236" t="s">
        <v>19</v>
      </c>
      <c r="E236" t="s">
        <v>20</v>
      </c>
      <c r="F236" t="s">
        <v>19</v>
      </c>
      <c r="G236" s="7">
        <v>2</v>
      </c>
      <c r="H236" s="1">
        <v>28558.02</v>
      </c>
      <c r="I236" t="s">
        <v>41</v>
      </c>
      <c r="J236" s="1">
        <v>57116.04</v>
      </c>
    </row>
    <row r="237" spans="1:10" x14ac:dyDescent="0.35">
      <c r="A237" s="5" t="s">
        <v>320</v>
      </c>
      <c r="B237" t="s">
        <v>401</v>
      </c>
      <c r="C237" t="s">
        <v>35</v>
      </c>
      <c r="D237" t="s">
        <v>24</v>
      </c>
      <c r="E237" t="s">
        <v>25</v>
      </c>
      <c r="F237" t="s">
        <v>24</v>
      </c>
      <c r="G237" s="7">
        <v>10</v>
      </c>
      <c r="H237" s="1">
        <v>745.47</v>
      </c>
      <c r="I237" t="s">
        <v>15</v>
      </c>
      <c r="J237" s="1">
        <v>7454.7</v>
      </c>
    </row>
    <row r="238" spans="1:10" x14ac:dyDescent="0.35">
      <c r="A238" s="5" t="s">
        <v>155</v>
      </c>
      <c r="B238" t="s">
        <v>402</v>
      </c>
      <c r="C238" t="s">
        <v>18</v>
      </c>
      <c r="D238" t="s">
        <v>24</v>
      </c>
      <c r="E238" t="s">
        <v>25</v>
      </c>
      <c r="F238" t="s">
        <v>24</v>
      </c>
      <c r="G238" s="7">
        <v>8</v>
      </c>
      <c r="H238" s="1">
        <v>724.26</v>
      </c>
      <c r="I238" t="s">
        <v>21</v>
      </c>
      <c r="J238" s="1">
        <v>5794.08</v>
      </c>
    </row>
    <row r="239" spans="1:10" x14ac:dyDescent="0.35">
      <c r="A239" s="5" t="s">
        <v>403</v>
      </c>
      <c r="B239" t="s">
        <v>404</v>
      </c>
      <c r="C239" t="s">
        <v>35</v>
      </c>
      <c r="D239" t="s">
        <v>13</v>
      </c>
      <c r="E239" t="s">
        <v>29</v>
      </c>
      <c r="F239" t="s">
        <v>13</v>
      </c>
      <c r="G239" s="7">
        <v>3</v>
      </c>
      <c r="H239" s="1">
        <v>22787.119999999999</v>
      </c>
      <c r="I239" t="s">
        <v>41</v>
      </c>
      <c r="J239" s="1">
        <v>68361.36</v>
      </c>
    </row>
    <row r="240" spans="1:10" x14ac:dyDescent="0.35">
      <c r="A240" s="5" t="s">
        <v>405</v>
      </c>
      <c r="B240" t="s">
        <v>406</v>
      </c>
      <c r="C240" t="s">
        <v>56</v>
      </c>
      <c r="D240" t="s">
        <v>13</v>
      </c>
      <c r="E240" t="s">
        <v>29</v>
      </c>
      <c r="F240" t="s">
        <v>13</v>
      </c>
      <c r="G240" s="7">
        <v>6</v>
      </c>
      <c r="H240" s="1">
        <v>24409.77</v>
      </c>
      <c r="I240" t="s">
        <v>15</v>
      </c>
      <c r="J240" s="1">
        <v>146458.62</v>
      </c>
    </row>
    <row r="241" spans="1:10" x14ac:dyDescent="0.35">
      <c r="A241" s="5" t="s">
        <v>407</v>
      </c>
      <c r="B241" t="s">
        <v>408</v>
      </c>
      <c r="C241" t="s">
        <v>12</v>
      </c>
      <c r="D241" t="s">
        <v>19</v>
      </c>
      <c r="E241" t="s">
        <v>20</v>
      </c>
      <c r="F241" t="s">
        <v>19</v>
      </c>
      <c r="G241" s="7">
        <v>3</v>
      </c>
      <c r="H241" s="1">
        <v>31446.14</v>
      </c>
      <c r="I241" t="s">
        <v>41</v>
      </c>
      <c r="J241" s="1">
        <v>94338.42</v>
      </c>
    </row>
    <row r="242" spans="1:10" x14ac:dyDescent="0.35">
      <c r="A242" s="5" t="s">
        <v>188</v>
      </c>
      <c r="B242" t="s">
        <v>409</v>
      </c>
      <c r="C242" t="s">
        <v>56</v>
      </c>
      <c r="D242" t="s">
        <v>13</v>
      </c>
      <c r="E242" t="s">
        <v>29</v>
      </c>
      <c r="F242" t="s">
        <v>13</v>
      </c>
      <c r="G242" s="7">
        <v>5</v>
      </c>
      <c r="H242" s="1">
        <v>25560.12</v>
      </c>
      <c r="I242" t="s">
        <v>30</v>
      </c>
      <c r="J242" s="1">
        <v>127800.6</v>
      </c>
    </row>
    <row r="243" spans="1:10" x14ac:dyDescent="0.35">
      <c r="A243" s="5" t="s">
        <v>42</v>
      </c>
      <c r="B243" t="s">
        <v>410</v>
      </c>
      <c r="C243" t="s">
        <v>71</v>
      </c>
      <c r="D243" t="s">
        <v>13</v>
      </c>
      <c r="E243" t="s">
        <v>29</v>
      </c>
      <c r="F243" t="s">
        <v>13</v>
      </c>
      <c r="G243" s="7">
        <v>3</v>
      </c>
      <c r="H243" s="1">
        <v>25647.43</v>
      </c>
      <c r="I243" t="s">
        <v>30</v>
      </c>
      <c r="J243" s="1">
        <v>76942.289999999994</v>
      </c>
    </row>
    <row r="244" spans="1:10" x14ac:dyDescent="0.35">
      <c r="A244" s="5" t="s">
        <v>411</v>
      </c>
      <c r="B244" t="s">
        <v>412</v>
      </c>
      <c r="C244" t="s">
        <v>35</v>
      </c>
      <c r="D244" t="s">
        <v>13</v>
      </c>
      <c r="E244" t="s">
        <v>29</v>
      </c>
      <c r="F244" t="s">
        <v>13</v>
      </c>
      <c r="G244" s="7">
        <v>8</v>
      </c>
      <c r="H244" s="1">
        <v>23909.29</v>
      </c>
      <c r="I244" t="s">
        <v>30</v>
      </c>
      <c r="J244" s="1">
        <v>191274.32</v>
      </c>
    </row>
    <row r="245" spans="1:10" x14ac:dyDescent="0.35">
      <c r="A245" s="5" t="s">
        <v>150</v>
      </c>
      <c r="B245" t="s">
        <v>413</v>
      </c>
      <c r="C245" t="s">
        <v>71</v>
      </c>
      <c r="D245" t="s">
        <v>13</v>
      </c>
      <c r="E245" t="s">
        <v>29</v>
      </c>
      <c r="F245" t="s">
        <v>13</v>
      </c>
      <c r="G245" s="7">
        <v>8</v>
      </c>
      <c r="H245" s="1">
        <v>25764.3</v>
      </c>
      <c r="I245" t="s">
        <v>30</v>
      </c>
      <c r="J245" s="1">
        <v>206114.4</v>
      </c>
    </row>
    <row r="246" spans="1:10" x14ac:dyDescent="0.35">
      <c r="A246" s="5" t="s">
        <v>42</v>
      </c>
      <c r="B246" t="s">
        <v>414</v>
      </c>
      <c r="C246" t="s">
        <v>28</v>
      </c>
      <c r="D246" t="s">
        <v>59</v>
      </c>
      <c r="E246" t="s">
        <v>60</v>
      </c>
      <c r="F246" t="s">
        <v>59</v>
      </c>
      <c r="G246" s="7">
        <v>8</v>
      </c>
      <c r="H246" s="1">
        <v>1518.42</v>
      </c>
      <c r="I246" t="s">
        <v>30</v>
      </c>
      <c r="J246" s="1">
        <v>12147.36</v>
      </c>
    </row>
    <row r="247" spans="1:10" x14ac:dyDescent="0.35">
      <c r="A247" s="5" t="s">
        <v>315</v>
      </c>
      <c r="B247" t="s">
        <v>415</v>
      </c>
      <c r="C247" t="s">
        <v>18</v>
      </c>
      <c r="D247" t="s">
        <v>24</v>
      </c>
      <c r="E247" t="s">
        <v>25</v>
      </c>
      <c r="F247" t="s">
        <v>24</v>
      </c>
      <c r="G247" s="7">
        <v>2</v>
      </c>
      <c r="H247" s="1">
        <v>726.3</v>
      </c>
      <c r="I247" t="s">
        <v>30</v>
      </c>
      <c r="J247" s="1">
        <v>1452.6</v>
      </c>
    </row>
    <row r="248" spans="1:10" x14ac:dyDescent="0.35">
      <c r="A248" s="5" t="s">
        <v>320</v>
      </c>
      <c r="B248" t="s">
        <v>416</v>
      </c>
      <c r="C248" t="s">
        <v>56</v>
      </c>
      <c r="D248" t="s">
        <v>59</v>
      </c>
      <c r="E248" t="s">
        <v>60</v>
      </c>
      <c r="F248" t="s">
        <v>59</v>
      </c>
      <c r="G248" s="7">
        <v>6</v>
      </c>
      <c r="H248" s="1">
        <v>1632.27</v>
      </c>
      <c r="I248" t="s">
        <v>41</v>
      </c>
      <c r="J248" s="1">
        <v>9793.6200000000008</v>
      </c>
    </row>
    <row r="249" spans="1:10" x14ac:dyDescent="0.35">
      <c r="A249" s="5" t="s">
        <v>411</v>
      </c>
      <c r="B249" t="s">
        <v>417</v>
      </c>
      <c r="C249" t="s">
        <v>35</v>
      </c>
      <c r="D249" t="s">
        <v>19</v>
      </c>
      <c r="E249" t="s">
        <v>20</v>
      </c>
      <c r="F249" t="s">
        <v>19</v>
      </c>
      <c r="G249" s="7">
        <v>1</v>
      </c>
      <c r="H249" s="1">
        <v>29905.08</v>
      </c>
      <c r="I249" t="s">
        <v>15</v>
      </c>
      <c r="J249" s="1">
        <v>29905.08</v>
      </c>
    </row>
    <row r="250" spans="1:10" x14ac:dyDescent="0.35">
      <c r="A250" s="5" t="s">
        <v>252</v>
      </c>
      <c r="B250" t="s">
        <v>418</v>
      </c>
      <c r="C250" t="s">
        <v>71</v>
      </c>
      <c r="D250" t="s">
        <v>59</v>
      </c>
      <c r="E250" t="s">
        <v>60</v>
      </c>
      <c r="F250" t="s">
        <v>59</v>
      </c>
      <c r="G250" s="7">
        <v>7</v>
      </c>
      <c r="H250" s="1">
        <v>1568.32</v>
      </c>
      <c r="I250" t="s">
        <v>15</v>
      </c>
      <c r="J250" s="1">
        <v>10978.24</v>
      </c>
    </row>
    <row r="251" spans="1:10" x14ac:dyDescent="0.35">
      <c r="A251" s="5" t="s">
        <v>259</v>
      </c>
      <c r="B251" t="s">
        <v>419</v>
      </c>
      <c r="C251" t="s">
        <v>28</v>
      </c>
      <c r="D251" t="s">
        <v>19</v>
      </c>
      <c r="E251" t="s">
        <v>20</v>
      </c>
      <c r="F251" t="s">
        <v>19</v>
      </c>
      <c r="G251" s="7">
        <v>6</v>
      </c>
      <c r="H251" s="1">
        <v>27676.639999999999</v>
      </c>
      <c r="I251" t="s">
        <v>41</v>
      </c>
      <c r="J251" s="1">
        <v>166059.84</v>
      </c>
    </row>
    <row r="252" spans="1:10" x14ac:dyDescent="0.35">
      <c r="A252" s="5" t="s">
        <v>146</v>
      </c>
      <c r="B252" t="s">
        <v>420</v>
      </c>
      <c r="C252" t="s">
        <v>35</v>
      </c>
      <c r="D252" t="s">
        <v>24</v>
      </c>
      <c r="E252" t="s">
        <v>25</v>
      </c>
      <c r="F252" t="s">
        <v>24</v>
      </c>
      <c r="G252" s="7">
        <v>10</v>
      </c>
      <c r="H252" s="1">
        <v>807.82</v>
      </c>
      <c r="I252" t="s">
        <v>21</v>
      </c>
      <c r="J252" s="1">
        <v>8078.2</v>
      </c>
    </row>
    <row r="253" spans="1:10" x14ac:dyDescent="0.35">
      <c r="A253" s="5" t="s">
        <v>275</v>
      </c>
      <c r="B253" t="s">
        <v>421</v>
      </c>
      <c r="C253" t="s">
        <v>71</v>
      </c>
      <c r="D253" t="s">
        <v>59</v>
      </c>
      <c r="E253" t="s">
        <v>60</v>
      </c>
      <c r="F253" t="s">
        <v>59</v>
      </c>
      <c r="G253" s="7">
        <v>3</v>
      </c>
      <c r="H253" s="1">
        <v>1580.57</v>
      </c>
      <c r="I253" t="s">
        <v>30</v>
      </c>
      <c r="J253" s="1">
        <v>4741.71</v>
      </c>
    </row>
    <row r="254" spans="1:10" x14ac:dyDescent="0.35">
      <c r="A254" s="5" t="s">
        <v>292</v>
      </c>
      <c r="B254" t="s">
        <v>422</v>
      </c>
      <c r="C254" t="s">
        <v>12</v>
      </c>
      <c r="D254" t="s">
        <v>19</v>
      </c>
      <c r="E254" t="s">
        <v>20</v>
      </c>
      <c r="F254" t="s">
        <v>19</v>
      </c>
      <c r="G254" s="7">
        <v>9</v>
      </c>
      <c r="H254" s="1">
        <v>32763.99</v>
      </c>
      <c r="I254" t="s">
        <v>30</v>
      </c>
      <c r="J254" s="1">
        <v>294875.90999999997</v>
      </c>
    </row>
    <row r="255" spans="1:10" x14ac:dyDescent="0.35">
      <c r="A255" s="5" t="s">
        <v>423</v>
      </c>
      <c r="B255" t="s">
        <v>424</v>
      </c>
      <c r="C255" t="s">
        <v>71</v>
      </c>
      <c r="D255" t="s">
        <v>19</v>
      </c>
      <c r="E255" t="s">
        <v>36</v>
      </c>
      <c r="F255" t="s">
        <v>19</v>
      </c>
      <c r="G255" s="7">
        <v>5</v>
      </c>
      <c r="H255" s="1">
        <v>13169.78</v>
      </c>
      <c r="I255" t="s">
        <v>21</v>
      </c>
      <c r="J255" s="1">
        <v>65848.899999999994</v>
      </c>
    </row>
    <row r="256" spans="1:10" x14ac:dyDescent="0.35">
      <c r="A256" s="5" t="s">
        <v>196</v>
      </c>
      <c r="B256" t="s">
        <v>425</v>
      </c>
      <c r="C256" t="s">
        <v>18</v>
      </c>
      <c r="D256" t="s">
        <v>19</v>
      </c>
      <c r="E256" t="s">
        <v>36</v>
      </c>
      <c r="F256" t="s">
        <v>19</v>
      </c>
      <c r="G256" s="7">
        <v>9</v>
      </c>
      <c r="H256" s="1">
        <v>13131.44</v>
      </c>
      <c r="I256" t="s">
        <v>15</v>
      </c>
      <c r="J256" s="1">
        <v>118182.96</v>
      </c>
    </row>
    <row r="257" spans="1:10" x14ac:dyDescent="0.35">
      <c r="A257" s="5" t="s">
        <v>340</v>
      </c>
      <c r="B257" t="s">
        <v>426</v>
      </c>
      <c r="C257" t="s">
        <v>35</v>
      </c>
      <c r="D257" t="s">
        <v>19</v>
      </c>
      <c r="E257" t="s">
        <v>20</v>
      </c>
      <c r="F257" t="s">
        <v>19</v>
      </c>
      <c r="G257" s="7">
        <v>5</v>
      </c>
      <c r="H257" s="1">
        <v>27926.5</v>
      </c>
      <c r="I257" t="s">
        <v>41</v>
      </c>
      <c r="J257" s="1">
        <v>139632.5</v>
      </c>
    </row>
    <row r="258" spans="1:10" x14ac:dyDescent="0.35">
      <c r="A258" s="5" t="s">
        <v>48</v>
      </c>
      <c r="B258" t="s">
        <v>427</v>
      </c>
      <c r="C258" t="s">
        <v>56</v>
      </c>
      <c r="D258" t="s">
        <v>13</v>
      </c>
      <c r="E258" t="s">
        <v>14</v>
      </c>
      <c r="F258" t="s">
        <v>13</v>
      </c>
      <c r="G258" s="7">
        <v>4</v>
      </c>
      <c r="H258" s="1">
        <v>49845.43</v>
      </c>
      <c r="I258" t="s">
        <v>30</v>
      </c>
      <c r="J258" s="1">
        <v>199381.72</v>
      </c>
    </row>
    <row r="259" spans="1:10" x14ac:dyDescent="0.35">
      <c r="A259" s="5" t="s">
        <v>203</v>
      </c>
      <c r="B259" t="s">
        <v>428</v>
      </c>
      <c r="C259" t="s">
        <v>28</v>
      </c>
      <c r="D259" t="s">
        <v>59</v>
      </c>
      <c r="E259" t="s">
        <v>60</v>
      </c>
      <c r="F259" t="s">
        <v>59</v>
      </c>
      <c r="G259" s="7">
        <v>4</v>
      </c>
      <c r="H259" s="1">
        <v>1498.43</v>
      </c>
      <c r="I259" t="s">
        <v>30</v>
      </c>
      <c r="J259" s="1">
        <v>5993.72</v>
      </c>
    </row>
    <row r="260" spans="1:10" x14ac:dyDescent="0.35">
      <c r="A260" s="5" t="s">
        <v>372</v>
      </c>
      <c r="B260" t="s">
        <v>429</v>
      </c>
      <c r="C260" t="s">
        <v>28</v>
      </c>
      <c r="D260" t="s">
        <v>24</v>
      </c>
      <c r="E260" t="s">
        <v>25</v>
      </c>
      <c r="F260" t="s">
        <v>24</v>
      </c>
      <c r="G260" s="7">
        <v>8</v>
      </c>
      <c r="H260" s="1">
        <v>800.65</v>
      </c>
      <c r="I260" t="s">
        <v>15</v>
      </c>
      <c r="J260" s="1">
        <v>6405.2</v>
      </c>
    </row>
    <row r="261" spans="1:10" x14ac:dyDescent="0.35">
      <c r="A261" s="5" t="s">
        <v>338</v>
      </c>
      <c r="B261" t="s">
        <v>430</v>
      </c>
      <c r="C261" t="s">
        <v>18</v>
      </c>
      <c r="D261" t="s">
        <v>19</v>
      </c>
      <c r="E261" t="s">
        <v>20</v>
      </c>
      <c r="F261" t="s">
        <v>19</v>
      </c>
      <c r="G261" s="7">
        <v>3</v>
      </c>
      <c r="H261" s="1">
        <v>28568.82</v>
      </c>
      <c r="I261" t="s">
        <v>15</v>
      </c>
      <c r="J261" s="1">
        <v>85706.46</v>
      </c>
    </row>
    <row r="262" spans="1:10" x14ac:dyDescent="0.35">
      <c r="A262" s="5" t="s">
        <v>354</v>
      </c>
      <c r="B262" t="s">
        <v>431</v>
      </c>
      <c r="C262" t="s">
        <v>71</v>
      </c>
      <c r="D262" t="s">
        <v>59</v>
      </c>
      <c r="E262" t="s">
        <v>60</v>
      </c>
      <c r="F262" t="s">
        <v>59</v>
      </c>
      <c r="G262" s="7">
        <v>6</v>
      </c>
      <c r="H262" s="1">
        <v>1551.96</v>
      </c>
      <c r="I262" t="s">
        <v>41</v>
      </c>
      <c r="J262" s="1">
        <v>9311.76</v>
      </c>
    </row>
    <row r="263" spans="1:10" x14ac:dyDescent="0.35">
      <c r="A263" s="5" t="s">
        <v>126</v>
      </c>
      <c r="B263" t="s">
        <v>432</v>
      </c>
      <c r="C263" t="s">
        <v>12</v>
      </c>
      <c r="D263" t="s">
        <v>13</v>
      </c>
      <c r="E263" t="s">
        <v>14</v>
      </c>
      <c r="F263" t="s">
        <v>13</v>
      </c>
      <c r="G263" s="7">
        <v>9</v>
      </c>
      <c r="H263" s="1">
        <v>51607.360000000001</v>
      </c>
      <c r="I263" t="s">
        <v>21</v>
      </c>
      <c r="J263" s="1">
        <v>464466.24</v>
      </c>
    </row>
    <row r="264" spans="1:10" x14ac:dyDescent="0.35">
      <c r="A264" s="5" t="s">
        <v>188</v>
      </c>
      <c r="B264" t="s">
        <v>433</v>
      </c>
      <c r="C264" t="s">
        <v>56</v>
      </c>
      <c r="D264" t="s">
        <v>13</v>
      </c>
      <c r="E264" t="s">
        <v>29</v>
      </c>
      <c r="F264" t="s">
        <v>13</v>
      </c>
      <c r="G264" s="7">
        <v>6</v>
      </c>
      <c r="H264" s="1">
        <v>25490.560000000001</v>
      </c>
      <c r="I264" t="s">
        <v>21</v>
      </c>
      <c r="J264" s="1">
        <v>152943.35999999999</v>
      </c>
    </row>
    <row r="265" spans="1:10" x14ac:dyDescent="0.35">
      <c r="A265" s="5" t="s">
        <v>434</v>
      </c>
      <c r="B265" t="s">
        <v>435</v>
      </c>
      <c r="C265" t="s">
        <v>56</v>
      </c>
      <c r="D265" t="s">
        <v>24</v>
      </c>
      <c r="E265" t="s">
        <v>25</v>
      </c>
      <c r="F265" t="s">
        <v>24</v>
      </c>
      <c r="G265" s="7">
        <v>6</v>
      </c>
      <c r="H265" s="1">
        <v>853.4</v>
      </c>
      <c r="I265" t="s">
        <v>21</v>
      </c>
      <c r="J265" s="1">
        <v>5120.3999999999996</v>
      </c>
    </row>
    <row r="266" spans="1:10" x14ac:dyDescent="0.35">
      <c r="A266" s="5" t="s">
        <v>367</v>
      </c>
      <c r="B266" t="s">
        <v>436</v>
      </c>
      <c r="C266" t="s">
        <v>71</v>
      </c>
      <c r="D266" t="s">
        <v>19</v>
      </c>
      <c r="E266" t="s">
        <v>36</v>
      </c>
      <c r="F266" t="s">
        <v>19</v>
      </c>
      <c r="G266" s="7">
        <v>7</v>
      </c>
      <c r="H266" s="1">
        <v>11489.28</v>
      </c>
      <c r="I266" t="s">
        <v>41</v>
      </c>
      <c r="J266" s="1">
        <v>80424.960000000006</v>
      </c>
    </row>
    <row r="267" spans="1:10" x14ac:dyDescent="0.35">
      <c r="A267" s="5" t="s">
        <v>383</v>
      </c>
      <c r="B267" t="s">
        <v>437</v>
      </c>
      <c r="C267" t="s">
        <v>71</v>
      </c>
      <c r="D267" t="s">
        <v>19</v>
      </c>
      <c r="E267" t="s">
        <v>36</v>
      </c>
      <c r="F267" t="s">
        <v>19</v>
      </c>
      <c r="G267" s="7">
        <v>7</v>
      </c>
      <c r="H267" s="1">
        <v>11508.41</v>
      </c>
      <c r="I267" t="s">
        <v>30</v>
      </c>
      <c r="J267" s="1">
        <v>80558.87</v>
      </c>
    </row>
    <row r="268" spans="1:10" x14ac:dyDescent="0.35">
      <c r="A268" s="5" t="s">
        <v>100</v>
      </c>
      <c r="B268" t="s">
        <v>438</v>
      </c>
      <c r="C268" t="s">
        <v>35</v>
      </c>
      <c r="D268" t="s">
        <v>59</v>
      </c>
      <c r="E268" t="s">
        <v>60</v>
      </c>
      <c r="F268" t="s">
        <v>59</v>
      </c>
      <c r="G268" s="7">
        <v>5</v>
      </c>
      <c r="H268" s="1">
        <v>1426.81</v>
      </c>
      <c r="I268" t="s">
        <v>21</v>
      </c>
      <c r="J268" s="1">
        <v>7134.05</v>
      </c>
    </row>
    <row r="269" spans="1:10" x14ac:dyDescent="0.35">
      <c r="A269" s="5" t="s">
        <v>194</v>
      </c>
      <c r="B269" t="s">
        <v>439</v>
      </c>
      <c r="C269" t="s">
        <v>35</v>
      </c>
      <c r="D269" t="s">
        <v>59</v>
      </c>
      <c r="E269" t="s">
        <v>60</v>
      </c>
      <c r="F269" t="s">
        <v>59</v>
      </c>
      <c r="G269" s="7">
        <v>1</v>
      </c>
      <c r="H269" s="1">
        <v>1642.28</v>
      </c>
      <c r="I269" t="s">
        <v>30</v>
      </c>
      <c r="J269" s="1">
        <v>1642.28</v>
      </c>
    </row>
    <row r="270" spans="1:10" x14ac:dyDescent="0.35">
      <c r="A270" s="5" t="s">
        <v>50</v>
      </c>
      <c r="B270" t="s">
        <v>440</v>
      </c>
      <c r="C270" t="s">
        <v>18</v>
      </c>
      <c r="D270" t="s">
        <v>19</v>
      </c>
      <c r="E270" t="s">
        <v>36</v>
      </c>
      <c r="F270" t="s">
        <v>19</v>
      </c>
      <c r="G270" s="7">
        <v>3</v>
      </c>
      <c r="H270" s="1">
        <v>12756.55</v>
      </c>
      <c r="I270" t="s">
        <v>15</v>
      </c>
      <c r="J270" s="1">
        <v>38269.65</v>
      </c>
    </row>
    <row r="271" spans="1:10" x14ac:dyDescent="0.35">
      <c r="A271" s="5" t="s">
        <v>441</v>
      </c>
      <c r="B271" t="s">
        <v>442</v>
      </c>
      <c r="C271" t="s">
        <v>12</v>
      </c>
      <c r="D271" t="s">
        <v>13</v>
      </c>
      <c r="E271" t="s">
        <v>29</v>
      </c>
      <c r="F271" t="s">
        <v>13</v>
      </c>
      <c r="G271" s="7">
        <v>4</v>
      </c>
      <c r="H271" s="1">
        <v>22673.42</v>
      </c>
      <c r="I271" t="s">
        <v>21</v>
      </c>
      <c r="J271" s="1">
        <v>90693.68</v>
      </c>
    </row>
    <row r="272" spans="1:10" x14ac:dyDescent="0.35">
      <c r="A272" s="5" t="s">
        <v>87</v>
      </c>
      <c r="B272" t="s">
        <v>443</v>
      </c>
      <c r="C272" t="s">
        <v>71</v>
      </c>
      <c r="D272" t="s">
        <v>24</v>
      </c>
      <c r="E272" t="s">
        <v>25</v>
      </c>
      <c r="F272" t="s">
        <v>24</v>
      </c>
      <c r="G272" s="7">
        <v>4</v>
      </c>
      <c r="H272" s="1">
        <v>775.24</v>
      </c>
      <c r="I272" t="s">
        <v>41</v>
      </c>
      <c r="J272" s="1">
        <v>3100.96</v>
      </c>
    </row>
    <row r="273" spans="1:10" x14ac:dyDescent="0.35">
      <c r="A273" s="5" t="s">
        <v>444</v>
      </c>
      <c r="B273" t="s">
        <v>445</v>
      </c>
      <c r="C273" t="s">
        <v>71</v>
      </c>
      <c r="D273" t="s">
        <v>59</v>
      </c>
      <c r="E273" t="s">
        <v>60</v>
      </c>
      <c r="F273" t="s">
        <v>59</v>
      </c>
      <c r="G273" s="7">
        <v>1</v>
      </c>
      <c r="H273" s="1">
        <v>1633.5</v>
      </c>
      <c r="I273" t="s">
        <v>21</v>
      </c>
      <c r="J273" s="1">
        <v>1633.5</v>
      </c>
    </row>
    <row r="274" spans="1:10" x14ac:dyDescent="0.35">
      <c r="A274" s="5" t="s">
        <v>367</v>
      </c>
      <c r="B274" t="s">
        <v>446</v>
      </c>
      <c r="C274" t="s">
        <v>12</v>
      </c>
      <c r="D274" t="s">
        <v>13</v>
      </c>
      <c r="E274" t="s">
        <v>29</v>
      </c>
      <c r="F274" t="s">
        <v>13</v>
      </c>
      <c r="G274" s="7">
        <v>4</v>
      </c>
      <c r="H274" s="1">
        <v>23255.06</v>
      </c>
      <c r="I274" t="s">
        <v>15</v>
      </c>
      <c r="J274" s="1">
        <v>93020.24</v>
      </c>
    </row>
    <row r="275" spans="1:10" x14ac:dyDescent="0.35">
      <c r="A275" s="5" t="s">
        <v>117</v>
      </c>
      <c r="B275" t="s">
        <v>447</v>
      </c>
      <c r="C275" t="s">
        <v>35</v>
      </c>
      <c r="D275" t="s">
        <v>19</v>
      </c>
      <c r="E275" t="s">
        <v>20</v>
      </c>
      <c r="F275" t="s">
        <v>19</v>
      </c>
      <c r="G275" s="7">
        <v>5</v>
      </c>
      <c r="H275" s="1">
        <v>29478.92</v>
      </c>
      <c r="I275" t="s">
        <v>41</v>
      </c>
      <c r="J275" s="1">
        <v>147394.6</v>
      </c>
    </row>
    <row r="276" spans="1:10" x14ac:dyDescent="0.35">
      <c r="A276" s="5" t="s">
        <v>448</v>
      </c>
      <c r="B276" t="s">
        <v>449</v>
      </c>
      <c r="C276" t="s">
        <v>12</v>
      </c>
      <c r="D276" t="s">
        <v>19</v>
      </c>
      <c r="E276" t="s">
        <v>20</v>
      </c>
      <c r="F276" t="s">
        <v>19</v>
      </c>
      <c r="G276" s="7">
        <v>7</v>
      </c>
      <c r="H276" s="1">
        <v>30784.79</v>
      </c>
      <c r="I276" t="s">
        <v>15</v>
      </c>
      <c r="J276" s="1">
        <v>215493.53</v>
      </c>
    </row>
    <row r="277" spans="1:10" x14ac:dyDescent="0.35">
      <c r="A277" s="5" t="s">
        <v>31</v>
      </c>
      <c r="B277" t="s">
        <v>450</v>
      </c>
      <c r="C277" t="s">
        <v>12</v>
      </c>
      <c r="D277" t="s">
        <v>19</v>
      </c>
      <c r="E277" t="s">
        <v>36</v>
      </c>
      <c r="F277" t="s">
        <v>19</v>
      </c>
      <c r="G277" s="7">
        <v>8</v>
      </c>
      <c r="H277" s="1">
        <v>11110.29</v>
      </c>
      <c r="I277" t="s">
        <v>15</v>
      </c>
      <c r="J277" s="1">
        <v>88882.32</v>
      </c>
    </row>
    <row r="278" spans="1:10" x14ac:dyDescent="0.35">
      <c r="A278" s="5" t="s">
        <v>451</v>
      </c>
      <c r="B278" t="s">
        <v>452</v>
      </c>
      <c r="C278" t="s">
        <v>12</v>
      </c>
      <c r="D278" t="s">
        <v>13</v>
      </c>
      <c r="E278" t="s">
        <v>29</v>
      </c>
      <c r="F278" t="s">
        <v>13</v>
      </c>
      <c r="G278" s="7">
        <v>10</v>
      </c>
      <c r="H278" s="1">
        <v>24151.13</v>
      </c>
      <c r="I278" t="s">
        <v>41</v>
      </c>
      <c r="J278" s="1">
        <v>241511.3</v>
      </c>
    </row>
    <row r="279" spans="1:10" x14ac:dyDescent="0.35">
      <c r="A279" s="5" t="s">
        <v>112</v>
      </c>
      <c r="B279" t="s">
        <v>453</v>
      </c>
      <c r="C279" t="s">
        <v>56</v>
      </c>
      <c r="D279" t="s">
        <v>19</v>
      </c>
      <c r="E279" t="s">
        <v>36</v>
      </c>
      <c r="F279" t="s">
        <v>19</v>
      </c>
      <c r="G279" s="7">
        <v>5</v>
      </c>
      <c r="H279" s="1">
        <v>12016.39</v>
      </c>
      <c r="I279" t="s">
        <v>41</v>
      </c>
      <c r="J279" s="1">
        <v>60081.95</v>
      </c>
    </row>
    <row r="280" spans="1:10" x14ac:dyDescent="0.35">
      <c r="A280" s="5" t="s">
        <v>105</v>
      </c>
      <c r="B280" t="s">
        <v>454</v>
      </c>
      <c r="C280" t="s">
        <v>35</v>
      </c>
      <c r="D280" t="s">
        <v>13</v>
      </c>
      <c r="E280" t="s">
        <v>14</v>
      </c>
      <c r="F280" t="s">
        <v>13</v>
      </c>
      <c r="G280" s="7">
        <v>7</v>
      </c>
      <c r="H280" s="1">
        <v>51164.21</v>
      </c>
      <c r="I280" t="s">
        <v>41</v>
      </c>
      <c r="J280" s="1">
        <v>358149.47</v>
      </c>
    </row>
    <row r="281" spans="1:10" x14ac:dyDescent="0.35">
      <c r="A281" s="5" t="s">
        <v>351</v>
      </c>
      <c r="B281" t="s">
        <v>455</v>
      </c>
      <c r="C281" t="s">
        <v>28</v>
      </c>
      <c r="D281" t="s">
        <v>19</v>
      </c>
      <c r="E281" t="s">
        <v>36</v>
      </c>
      <c r="F281" t="s">
        <v>19</v>
      </c>
      <c r="G281" s="7">
        <v>8</v>
      </c>
      <c r="H281" s="1">
        <v>11414.31</v>
      </c>
      <c r="I281" t="s">
        <v>30</v>
      </c>
      <c r="J281" s="1">
        <v>91314.48</v>
      </c>
    </row>
    <row r="282" spans="1:10" x14ac:dyDescent="0.35">
      <c r="A282" s="5" t="s">
        <v>175</v>
      </c>
      <c r="B282" t="s">
        <v>456</v>
      </c>
      <c r="C282" t="s">
        <v>18</v>
      </c>
      <c r="D282" t="s">
        <v>24</v>
      </c>
      <c r="E282" t="s">
        <v>25</v>
      </c>
      <c r="F282" t="s">
        <v>24</v>
      </c>
      <c r="G282" s="7">
        <v>3</v>
      </c>
      <c r="H282" s="1">
        <v>769.68</v>
      </c>
      <c r="I282" t="s">
        <v>41</v>
      </c>
      <c r="J282" s="1">
        <v>2309.04</v>
      </c>
    </row>
    <row r="283" spans="1:10" x14ac:dyDescent="0.35">
      <c r="A283" s="5" t="s">
        <v>236</v>
      </c>
      <c r="B283" t="s">
        <v>457</v>
      </c>
      <c r="C283" t="s">
        <v>71</v>
      </c>
      <c r="D283" t="s">
        <v>59</v>
      </c>
      <c r="E283" t="s">
        <v>60</v>
      </c>
      <c r="F283" t="s">
        <v>59</v>
      </c>
      <c r="G283" s="7">
        <v>6</v>
      </c>
      <c r="H283" s="1">
        <v>1486.97</v>
      </c>
      <c r="I283" t="s">
        <v>21</v>
      </c>
      <c r="J283" s="1">
        <v>8921.82</v>
      </c>
    </row>
    <row r="284" spans="1:10" x14ac:dyDescent="0.35">
      <c r="A284" s="5" t="s">
        <v>170</v>
      </c>
      <c r="B284" t="s">
        <v>458</v>
      </c>
      <c r="C284" t="s">
        <v>12</v>
      </c>
      <c r="D284" t="s">
        <v>59</v>
      </c>
      <c r="E284" t="s">
        <v>60</v>
      </c>
      <c r="F284" t="s">
        <v>59</v>
      </c>
      <c r="G284" s="7">
        <v>7</v>
      </c>
      <c r="H284" s="1">
        <v>1359.37</v>
      </c>
      <c r="I284" t="s">
        <v>21</v>
      </c>
      <c r="J284" s="1">
        <v>9515.59</v>
      </c>
    </row>
    <row r="285" spans="1:10" x14ac:dyDescent="0.35">
      <c r="A285" s="5" t="s">
        <v>459</v>
      </c>
      <c r="B285" t="s">
        <v>460</v>
      </c>
      <c r="C285" t="s">
        <v>28</v>
      </c>
      <c r="D285" t="s">
        <v>19</v>
      </c>
      <c r="E285" t="s">
        <v>36</v>
      </c>
      <c r="F285" t="s">
        <v>19</v>
      </c>
      <c r="G285" s="7">
        <v>4</v>
      </c>
      <c r="H285" s="1">
        <v>12254.03</v>
      </c>
      <c r="I285" t="s">
        <v>30</v>
      </c>
      <c r="J285" s="1">
        <v>49016.12</v>
      </c>
    </row>
    <row r="286" spans="1:10" x14ac:dyDescent="0.35">
      <c r="A286" s="5" t="s">
        <v>461</v>
      </c>
      <c r="B286" t="s">
        <v>462</v>
      </c>
      <c r="C286" t="s">
        <v>18</v>
      </c>
      <c r="D286" t="s">
        <v>19</v>
      </c>
      <c r="E286" t="s">
        <v>20</v>
      </c>
      <c r="F286" t="s">
        <v>19</v>
      </c>
      <c r="G286" s="7">
        <v>7</v>
      </c>
      <c r="H286" s="1">
        <v>30586.639999999999</v>
      </c>
      <c r="I286" t="s">
        <v>21</v>
      </c>
      <c r="J286" s="1">
        <v>214106.48</v>
      </c>
    </row>
    <row r="287" spans="1:10" x14ac:dyDescent="0.35">
      <c r="A287" s="5" t="s">
        <v>133</v>
      </c>
      <c r="B287" t="s">
        <v>463</v>
      </c>
      <c r="C287" t="s">
        <v>71</v>
      </c>
      <c r="D287" t="s">
        <v>59</v>
      </c>
      <c r="E287" t="s">
        <v>60</v>
      </c>
      <c r="F287" t="s">
        <v>59</v>
      </c>
      <c r="G287" s="7">
        <v>6</v>
      </c>
      <c r="H287" s="1">
        <v>1501.92</v>
      </c>
      <c r="I287" t="s">
        <v>15</v>
      </c>
      <c r="J287" s="1">
        <v>9011.52</v>
      </c>
    </row>
    <row r="288" spans="1:10" x14ac:dyDescent="0.35">
      <c r="A288" s="5" t="s">
        <v>265</v>
      </c>
      <c r="B288" t="s">
        <v>464</v>
      </c>
      <c r="C288" t="s">
        <v>35</v>
      </c>
      <c r="D288" t="s">
        <v>19</v>
      </c>
      <c r="E288" t="s">
        <v>36</v>
      </c>
      <c r="F288" t="s">
        <v>19</v>
      </c>
      <c r="G288" s="7">
        <v>3</v>
      </c>
      <c r="H288" s="1">
        <v>12090.84</v>
      </c>
      <c r="I288" t="s">
        <v>21</v>
      </c>
      <c r="J288" s="1">
        <v>36272.519999999997</v>
      </c>
    </row>
    <row r="289" spans="1:10" x14ac:dyDescent="0.35">
      <c r="A289" s="5" t="s">
        <v>160</v>
      </c>
      <c r="B289" t="s">
        <v>465</v>
      </c>
      <c r="C289" t="s">
        <v>56</v>
      </c>
      <c r="D289" t="s">
        <v>19</v>
      </c>
      <c r="E289" t="s">
        <v>20</v>
      </c>
      <c r="F289" t="s">
        <v>19</v>
      </c>
      <c r="G289" s="7">
        <v>6</v>
      </c>
      <c r="H289" s="1">
        <v>32534.19</v>
      </c>
      <c r="I289" t="s">
        <v>41</v>
      </c>
      <c r="J289" s="1">
        <v>195205.14</v>
      </c>
    </row>
    <row r="290" spans="1:10" x14ac:dyDescent="0.35">
      <c r="A290" s="5" t="s">
        <v>67</v>
      </c>
      <c r="B290" t="s">
        <v>466</v>
      </c>
      <c r="C290" t="s">
        <v>35</v>
      </c>
      <c r="D290" t="s">
        <v>19</v>
      </c>
      <c r="E290" t="s">
        <v>20</v>
      </c>
      <c r="F290" t="s">
        <v>19</v>
      </c>
      <c r="G290" s="7">
        <v>2</v>
      </c>
      <c r="H290" s="1">
        <v>31938.3</v>
      </c>
      <c r="I290" t="s">
        <v>21</v>
      </c>
      <c r="J290" s="1">
        <v>63876.6</v>
      </c>
    </row>
    <row r="291" spans="1:10" x14ac:dyDescent="0.35">
      <c r="A291" s="5" t="s">
        <v>467</v>
      </c>
      <c r="B291" t="s">
        <v>468</v>
      </c>
      <c r="C291" t="s">
        <v>56</v>
      </c>
      <c r="D291" t="s">
        <v>24</v>
      </c>
      <c r="E291" t="s">
        <v>25</v>
      </c>
      <c r="F291" t="s">
        <v>24</v>
      </c>
      <c r="G291" s="7">
        <v>3</v>
      </c>
      <c r="H291" s="1">
        <v>785.45</v>
      </c>
      <c r="I291" t="s">
        <v>21</v>
      </c>
      <c r="J291" s="1">
        <v>2356.35</v>
      </c>
    </row>
    <row r="292" spans="1:10" x14ac:dyDescent="0.35">
      <c r="A292" s="5" t="s">
        <v>469</v>
      </c>
      <c r="B292" t="s">
        <v>470</v>
      </c>
      <c r="C292" t="s">
        <v>35</v>
      </c>
      <c r="D292" t="s">
        <v>59</v>
      </c>
      <c r="E292" t="s">
        <v>60</v>
      </c>
      <c r="F292" t="s">
        <v>59</v>
      </c>
      <c r="G292" s="7">
        <v>6</v>
      </c>
      <c r="H292" s="1">
        <v>1532.82</v>
      </c>
      <c r="I292" t="s">
        <v>15</v>
      </c>
      <c r="J292" s="1">
        <v>9196.92</v>
      </c>
    </row>
    <row r="293" spans="1:10" x14ac:dyDescent="0.35">
      <c r="A293" s="5" t="s">
        <v>399</v>
      </c>
      <c r="B293" t="s">
        <v>471</v>
      </c>
      <c r="C293" t="s">
        <v>56</v>
      </c>
      <c r="D293" t="s">
        <v>13</v>
      </c>
      <c r="E293" t="s">
        <v>29</v>
      </c>
      <c r="F293" t="s">
        <v>13</v>
      </c>
      <c r="G293" s="7">
        <v>1</v>
      </c>
      <c r="H293" s="1">
        <v>23053.61</v>
      </c>
      <c r="I293" t="s">
        <v>21</v>
      </c>
      <c r="J293" s="1">
        <v>23053.61</v>
      </c>
    </row>
    <row r="294" spans="1:10" x14ac:dyDescent="0.35">
      <c r="A294" s="5" t="s">
        <v>405</v>
      </c>
      <c r="B294" t="s">
        <v>472</v>
      </c>
      <c r="C294" t="s">
        <v>28</v>
      </c>
      <c r="D294" t="s">
        <v>19</v>
      </c>
      <c r="E294" t="s">
        <v>20</v>
      </c>
      <c r="F294" t="s">
        <v>19</v>
      </c>
      <c r="G294" s="7">
        <v>7</v>
      </c>
      <c r="H294" s="1">
        <v>28758.38</v>
      </c>
      <c r="I294" t="s">
        <v>41</v>
      </c>
      <c r="J294" s="1">
        <v>201308.66</v>
      </c>
    </row>
    <row r="295" spans="1:10" x14ac:dyDescent="0.35">
      <c r="A295" s="5" t="s">
        <v>330</v>
      </c>
      <c r="B295" t="s">
        <v>473</v>
      </c>
      <c r="C295" t="s">
        <v>28</v>
      </c>
      <c r="D295" t="s">
        <v>13</v>
      </c>
      <c r="E295" t="s">
        <v>29</v>
      </c>
      <c r="F295" t="s">
        <v>13</v>
      </c>
      <c r="G295" s="7">
        <v>8</v>
      </c>
      <c r="H295" s="1">
        <v>27030.65</v>
      </c>
      <c r="I295" t="s">
        <v>41</v>
      </c>
      <c r="J295" s="1">
        <v>216245.2</v>
      </c>
    </row>
    <row r="296" spans="1:10" x14ac:dyDescent="0.35">
      <c r="A296" s="5" t="s">
        <v>194</v>
      </c>
      <c r="B296" t="s">
        <v>474</v>
      </c>
      <c r="C296" t="s">
        <v>28</v>
      </c>
      <c r="D296" t="s">
        <v>19</v>
      </c>
      <c r="E296" t="s">
        <v>20</v>
      </c>
      <c r="F296" t="s">
        <v>19</v>
      </c>
      <c r="G296" s="7">
        <v>3</v>
      </c>
      <c r="H296" s="1">
        <v>32255.79</v>
      </c>
      <c r="I296" t="s">
        <v>41</v>
      </c>
      <c r="J296" s="1">
        <v>96767.37</v>
      </c>
    </row>
    <row r="297" spans="1:10" x14ac:dyDescent="0.35">
      <c r="A297" s="5" t="s">
        <v>57</v>
      </c>
      <c r="B297" t="s">
        <v>475</v>
      </c>
      <c r="C297" t="s">
        <v>71</v>
      </c>
      <c r="D297" t="s">
        <v>19</v>
      </c>
      <c r="E297" t="s">
        <v>20</v>
      </c>
      <c r="F297" t="s">
        <v>19</v>
      </c>
      <c r="G297" s="7">
        <v>4</v>
      </c>
      <c r="H297" s="1">
        <v>28975.52</v>
      </c>
      <c r="I297" t="s">
        <v>41</v>
      </c>
      <c r="J297" s="1">
        <v>115902.08</v>
      </c>
    </row>
    <row r="298" spans="1:10" x14ac:dyDescent="0.35">
      <c r="A298" s="5" t="s">
        <v>175</v>
      </c>
      <c r="B298" t="s">
        <v>476</v>
      </c>
      <c r="C298" t="s">
        <v>35</v>
      </c>
      <c r="D298" t="s">
        <v>19</v>
      </c>
      <c r="E298" t="s">
        <v>36</v>
      </c>
      <c r="F298" t="s">
        <v>19</v>
      </c>
      <c r="G298" s="7">
        <v>2</v>
      </c>
      <c r="H298" s="1">
        <v>11745.15</v>
      </c>
      <c r="I298" t="s">
        <v>41</v>
      </c>
      <c r="J298" s="1">
        <v>23490.3</v>
      </c>
    </row>
    <row r="299" spans="1:10" x14ac:dyDescent="0.35">
      <c r="A299" s="5" t="s">
        <v>383</v>
      </c>
      <c r="B299" t="s">
        <v>477</v>
      </c>
      <c r="C299" t="s">
        <v>71</v>
      </c>
      <c r="D299" t="s">
        <v>59</v>
      </c>
      <c r="E299" t="s">
        <v>60</v>
      </c>
      <c r="F299" t="s">
        <v>59</v>
      </c>
      <c r="G299" s="7">
        <v>7</v>
      </c>
      <c r="H299" s="1">
        <v>1591.21</v>
      </c>
      <c r="I299" t="s">
        <v>21</v>
      </c>
      <c r="J299" s="1">
        <v>11138.47</v>
      </c>
    </row>
    <row r="300" spans="1:10" x14ac:dyDescent="0.35">
      <c r="A300" s="5" t="s">
        <v>328</v>
      </c>
      <c r="B300" t="s">
        <v>478</v>
      </c>
      <c r="C300" t="s">
        <v>71</v>
      </c>
      <c r="D300" t="s">
        <v>24</v>
      </c>
      <c r="E300" t="s">
        <v>25</v>
      </c>
      <c r="F300" t="s">
        <v>24</v>
      </c>
      <c r="G300" s="7">
        <v>6</v>
      </c>
      <c r="H300" s="1">
        <v>746.6</v>
      </c>
      <c r="I300" t="s">
        <v>21</v>
      </c>
      <c r="J300" s="1">
        <v>4479.6000000000004</v>
      </c>
    </row>
    <row r="301" spans="1:10" x14ac:dyDescent="0.35">
      <c r="A301" s="5" t="s">
        <v>479</v>
      </c>
      <c r="B301" t="s">
        <v>480</v>
      </c>
      <c r="C301" t="s">
        <v>35</v>
      </c>
      <c r="D301" t="s">
        <v>13</v>
      </c>
      <c r="E301" t="s">
        <v>14</v>
      </c>
      <c r="F301" t="s">
        <v>13</v>
      </c>
      <c r="G301" s="7">
        <v>5</v>
      </c>
      <c r="H301" s="1">
        <v>55749.86</v>
      </c>
      <c r="I301" t="s">
        <v>21</v>
      </c>
      <c r="J301" s="1">
        <v>278749.3</v>
      </c>
    </row>
    <row r="302" spans="1:10" x14ac:dyDescent="0.35">
      <c r="A302" s="5" t="s">
        <v>73</v>
      </c>
      <c r="B302" t="s">
        <v>481</v>
      </c>
      <c r="C302" t="s">
        <v>28</v>
      </c>
      <c r="D302" t="s">
        <v>13</v>
      </c>
      <c r="E302" t="s">
        <v>14</v>
      </c>
      <c r="F302" t="s">
        <v>13</v>
      </c>
      <c r="G302" s="7">
        <v>6</v>
      </c>
      <c r="H302" s="1">
        <v>59825.93</v>
      </c>
      <c r="I302" t="s">
        <v>30</v>
      </c>
      <c r="J302" s="1">
        <v>358955.58</v>
      </c>
    </row>
    <row r="303" spans="1:10" x14ac:dyDescent="0.35">
      <c r="A303" s="5" t="s">
        <v>203</v>
      </c>
      <c r="B303" t="s">
        <v>482</v>
      </c>
      <c r="C303" t="s">
        <v>35</v>
      </c>
      <c r="D303" t="s">
        <v>59</v>
      </c>
      <c r="E303" t="s">
        <v>60</v>
      </c>
      <c r="F303" t="s">
        <v>59</v>
      </c>
      <c r="G303" s="7">
        <v>2</v>
      </c>
      <c r="H303" s="1">
        <v>1647.32</v>
      </c>
      <c r="I303" t="s">
        <v>21</v>
      </c>
      <c r="J303" s="1">
        <v>3294.64</v>
      </c>
    </row>
    <row r="304" spans="1:10" x14ac:dyDescent="0.35">
      <c r="A304" s="5" t="s">
        <v>122</v>
      </c>
      <c r="B304" t="s">
        <v>483</v>
      </c>
      <c r="C304" t="s">
        <v>56</v>
      </c>
      <c r="D304" t="s">
        <v>19</v>
      </c>
      <c r="E304" t="s">
        <v>36</v>
      </c>
      <c r="F304" t="s">
        <v>19</v>
      </c>
      <c r="G304" s="7">
        <v>1</v>
      </c>
      <c r="H304" s="1">
        <v>12202.5</v>
      </c>
      <c r="I304" t="s">
        <v>21</v>
      </c>
      <c r="J304" s="1">
        <v>12202.5</v>
      </c>
    </row>
    <row r="305" spans="1:10" x14ac:dyDescent="0.35">
      <c r="A305" s="5" t="s">
        <v>124</v>
      </c>
      <c r="B305" t="s">
        <v>484</v>
      </c>
      <c r="C305" t="s">
        <v>12</v>
      </c>
      <c r="D305" t="s">
        <v>13</v>
      </c>
      <c r="E305" t="s">
        <v>29</v>
      </c>
      <c r="F305" t="s">
        <v>13</v>
      </c>
      <c r="G305" s="7">
        <v>7</v>
      </c>
      <c r="H305" s="1">
        <v>26960.3</v>
      </c>
      <c r="I305" t="s">
        <v>30</v>
      </c>
      <c r="J305" s="1">
        <v>188722.1</v>
      </c>
    </row>
    <row r="306" spans="1:10" x14ac:dyDescent="0.35">
      <c r="A306" s="5" t="s">
        <v>485</v>
      </c>
      <c r="B306" t="s">
        <v>486</v>
      </c>
      <c r="C306" t="s">
        <v>18</v>
      </c>
      <c r="D306" t="s">
        <v>19</v>
      </c>
      <c r="E306" t="s">
        <v>36</v>
      </c>
      <c r="F306" t="s">
        <v>19</v>
      </c>
      <c r="G306" s="7">
        <v>5</v>
      </c>
      <c r="H306" s="1">
        <v>11947.72</v>
      </c>
      <c r="I306" t="s">
        <v>15</v>
      </c>
      <c r="J306" s="1">
        <v>59738.6</v>
      </c>
    </row>
    <row r="307" spans="1:10" x14ac:dyDescent="0.35">
      <c r="A307" s="5" t="s">
        <v>434</v>
      </c>
      <c r="B307" t="s">
        <v>487</v>
      </c>
      <c r="C307" t="s">
        <v>28</v>
      </c>
      <c r="D307" t="s">
        <v>13</v>
      </c>
      <c r="E307" t="s">
        <v>29</v>
      </c>
      <c r="F307" t="s">
        <v>13</v>
      </c>
      <c r="G307" s="7">
        <v>6</v>
      </c>
      <c r="H307" s="1">
        <v>27171.89</v>
      </c>
      <c r="I307" t="s">
        <v>30</v>
      </c>
      <c r="J307" s="1">
        <v>163031.34</v>
      </c>
    </row>
    <row r="308" spans="1:10" x14ac:dyDescent="0.35">
      <c r="A308" s="5" t="s">
        <v>10</v>
      </c>
      <c r="B308" t="s">
        <v>488</v>
      </c>
      <c r="C308" t="s">
        <v>28</v>
      </c>
      <c r="D308" t="s">
        <v>19</v>
      </c>
      <c r="E308" t="s">
        <v>20</v>
      </c>
      <c r="F308" t="s">
        <v>19</v>
      </c>
      <c r="G308" s="7">
        <v>1</v>
      </c>
      <c r="H308" s="1">
        <v>29618.97</v>
      </c>
      <c r="I308" t="s">
        <v>21</v>
      </c>
      <c r="J308" s="1">
        <v>29618.97</v>
      </c>
    </row>
    <row r="309" spans="1:10" x14ac:dyDescent="0.35">
      <c r="A309" s="5" t="s">
        <v>393</v>
      </c>
      <c r="B309" t="s">
        <v>489</v>
      </c>
      <c r="C309" t="s">
        <v>12</v>
      </c>
      <c r="D309" t="s">
        <v>13</v>
      </c>
      <c r="E309" t="s">
        <v>29</v>
      </c>
      <c r="F309" t="s">
        <v>13</v>
      </c>
      <c r="G309" s="7">
        <v>9</v>
      </c>
      <c r="H309" s="1">
        <v>24879.98</v>
      </c>
      <c r="I309" t="s">
        <v>30</v>
      </c>
      <c r="J309" s="1">
        <v>223919.82</v>
      </c>
    </row>
    <row r="310" spans="1:10" x14ac:dyDescent="0.35">
      <c r="A310" s="5" t="s">
        <v>490</v>
      </c>
      <c r="B310" t="s">
        <v>491</v>
      </c>
      <c r="C310" t="s">
        <v>12</v>
      </c>
      <c r="D310" t="s">
        <v>19</v>
      </c>
      <c r="E310" t="s">
        <v>20</v>
      </c>
      <c r="F310" t="s">
        <v>19</v>
      </c>
      <c r="G310" s="7">
        <v>3</v>
      </c>
      <c r="H310" s="1">
        <v>30511.56</v>
      </c>
      <c r="I310" t="s">
        <v>41</v>
      </c>
      <c r="J310" s="1">
        <v>91534.68</v>
      </c>
    </row>
    <row r="311" spans="1:10" x14ac:dyDescent="0.35">
      <c r="A311" s="5" t="s">
        <v>170</v>
      </c>
      <c r="B311" t="s">
        <v>492</v>
      </c>
      <c r="C311" t="s">
        <v>71</v>
      </c>
      <c r="D311" t="s">
        <v>19</v>
      </c>
      <c r="E311" t="s">
        <v>20</v>
      </c>
      <c r="F311" t="s">
        <v>19</v>
      </c>
      <c r="G311" s="7">
        <v>4</v>
      </c>
      <c r="H311" s="1">
        <v>31588.44</v>
      </c>
      <c r="I311" t="s">
        <v>30</v>
      </c>
      <c r="J311" s="1">
        <v>126353.76</v>
      </c>
    </row>
    <row r="312" spans="1:10" x14ac:dyDescent="0.35">
      <c r="A312" s="5" t="s">
        <v>310</v>
      </c>
      <c r="B312" t="s">
        <v>493</v>
      </c>
      <c r="C312" t="s">
        <v>28</v>
      </c>
      <c r="D312" t="s">
        <v>59</v>
      </c>
      <c r="E312" t="s">
        <v>60</v>
      </c>
      <c r="F312" t="s">
        <v>59</v>
      </c>
      <c r="G312" s="7">
        <v>1</v>
      </c>
      <c r="H312" s="1">
        <v>1527.39</v>
      </c>
      <c r="I312" t="s">
        <v>15</v>
      </c>
      <c r="J312" s="1">
        <v>1527.39</v>
      </c>
    </row>
    <row r="313" spans="1:10" x14ac:dyDescent="0.35">
      <c r="A313" s="5" t="s">
        <v>434</v>
      </c>
      <c r="B313" t="s">
        <v>494</v>
      </c>
      <c r="C313" t="s">
        <v>12</v>
      </c>
      <c r="D313" t="s">
        <v>13</v>
      </c>
      <c r="E313" t="s">
        <v>14</v>
      </c>
      <c r="F313" t="s">
        <v>13</v>
      </c>
      <c r="G313" s="7">
        <v>4</v>
      </c>
      <c r="H313" s="1">
        <v>51800.47</v>
      </c>
      <c r="I313" t="s">
        <v>15</v>
      </c>
      <c r="J313" s="1">
        <v>207201.88</v>
      </c>
    </row>
    <row r="314" spans="1:10" x14ac:dyDescent="0.35">
      <c r="A314" s="5" t="s">
        <v>315</v>
      </c>
      <c r="B314" t="s">
        <v>495</v>
      </c>
      <c r="C314" t="s">
        <v>28</v>
      </c>
      <c r="D314" t="s">
        <v>19</v>
      </c>
      <c r="E314" t="s">
        <v>20</v>
      </c>
      <c r="F314" t="s">
        <v>19</v>
      </c>
      <c r="G314" s="7">
        <v>1</v>
      </c>
      <c r="H314" s="1">
        <v>32128.23</v>
      </c>
      <c r="I314" t="s">
        <v>21</v>
      </c>
      <c r="J314" s="1">
        <v>32128.23</v>
      </c>
    </row>
    <row r="315" spans="1:10" x14ac:dyDescent="0.35">
      <c r="A315" s="5" t="s">
        <v>467</v>
      </c>
      <c r="B315" t="s">
        <v>496</v>
      </c>
      <c r="C315" t="s">
        <v>35</v>
      </c>
      <c r="D315" t="s">
        <v>59</v>
      </c>
      <c r="E315" t="s">
        <v>60</v>
      </c>
      <c r="F315" t="s">
        <v>59</v>
      </c>
      <c r="G315" s="7">
        <v>7</v>
      </c>
      <c r="H315" s="1">
        <v>1417.43</v>
      </c>
      <c r="I315" t="s">
        <v>15</v>
      </c>
      <c r="J315" s="1">
        <v>9922.01</v>
      </c>
    </row>
    <row r="316" spans="1:10" x14ac:dyDescent="0.35">
      <c r="A316" s="5" t="s">
        <v>39</v>
      </c>
      <c r="B316" t="s">
        <v>497</v>
      </c>
      <c r="C316" t="s">
        <v>56</v>
      </c>
      <c r="D316" t="s">
        <v>59</v>
      </c>
      <c r="E316" t="s">
        <v>60</v>
      </c>
      <c r="F316" t="s">
        <v>59</v>
      </c>
      <c r="G316" s="7">
        <v>7</v>
      </c>
      <c r="H316" s="1">
        <v>1422.93</v>
      </c>
      <c r="I316" t="s">
        <v>41</v>
      </c>
      <c r="J316" s="1">
        <v>9960.51</v>
      </c>
    </row>
    <row r="317" spans="1:10" x14ac:dyDescent="0.35">
      <c r="A317" s="5" t="s">
        <v>221</v>
      </c>
      <c r="B317" t="s">
        <v>498</v>
      </c>
      <c r="C317" t="s">
        <v>28</v>
      </c>
      <c r="D317" t="s">
        <v>13</v>
      </c>
      <c r="E317" t="s">
        <v>29</v>
      </c>
      <c r="F317" t="s">
        <v>13</v>
      </c>
      <c r="G317" s="7">
        <v>4</v>
      </c>
      <c r="H317" s="1">
        <v>23254.09</v>
      </c>
      <c r="I317" t="s">
        <v>21</v>
      </c>
      <c r="J317" s="1">
        <v>93016.36</v>
      </c>
    </row>
    <row r="318" spans="1:10" x14ac:dyDescent="0.35">
      <c r="A318" s="5" t="s">
        <v>407</v>
      </c>
      <c r="B318" t="s">
        <v>499</v>
      </c>
      <c r="C318" t="s">
        <v>12</v>
      </c>
      <c r="D318" t="s">
        <v>59</v>
      </c>
      <c r="E318" t="s">
        <v>60</v>
      </c>
      <c r="F318" t="s">
        <v>59</v>
      </c>
      <c r="G318" s="7">
        <v>3</v>
      </c>
      <c r="H318" s="1">
        <v>1404.23</v>
      </c>
      <c r="I318" t="s">
        <v>15</v>
      </c>
      <c r="J318" s="1">
        <v>4212.6899999999996</v>
      </c>
    </row>
    <row r="319" spans="1:10" x14ac:dyDescent="0.35">
      <c r="A319" s="5" t="s">
        <v>292</v>
      </c>
      <c r="B319" t="s">
        <v>500</v>
      </c>
      <c r="C319" t="s">
        <v>18</v>
      </c>
      <c r="D319" t="s">
        <v>19</v>
      </c>
      <c r="E319" t="s">
        <v>20</v>
      </c>
      <c r="F319" t="s">
        <v>19</v>
      </c>
      <c r="G319" s="7">
        <v>10</v>
      </c>
      <c r="H319" s="1">
        <v>31615.75</v>
      </c>
      <c r="I319" t="s">
        <v>15</v>
      </c>
      <c r="J319" s="1">
        <v>316157.5</v>
      </c>
    </row>
    <row r="320" spans="1:10" x14ac:dyDescent="0.35">
      <c r="A320" s="5" t="s">
        <v>405</v>
      </c>
      <c r="B320" t="s">
        <v>501</v>
      </c>
      <c r="C320" t="s">
        <v>12</v>
      </c>
      <c r="D320" t="s">
        <v>59</v>
      </c>
      <c r="E320" t="s">
        <v>60</v>
      </c>
      <c r="F320" t="s">
        <v>59</v>
      </c>
      <c r="G320" s="7">
        <v>1</v>
      </c>
      <c r="H320" s="1">
        <v>1550.16</v>
      </c>
      <c r="I320" t="s">
        <v>41</v>
      </c>
      <c r="J320" s="1">
        <v>1550.16</v>
      </c>
    </row>
    <row r="321" spans="1:10" x14ac:dyDescent="0.35">
      <c r="A321" s="5" t="s">
        <v>85</v>
      </c>
      <c r="B321" t="s">
        <v>502</v>
      </c>
      <c r="C321" t="s">
        <v>12</v>
      </c>
      <c r="D321" t="s">
        <v>19</v>
      </c>
      <c r="E321" t="s">
        <v>20</v>
      </c>
      <c r="F321" t="s">
        <v>19</v>
      </c>
      <c r="G321" s="7">
        <v>3</v>
      </c>
      <c r="H321" s="1">
        <v>32095.03</v>
      </c>
      <c r="I321" t="s">
        <v>21</v>
      </c>
      <c r="J321" s="1">
        <v>96285.09</v>
      </c>
    </row>
    <row r="322" spans="1:10" x14ac:dyDescent="0.35">
      <c r="A322" s="5" t="s">
        <v>117</v>
      </c>
      <c r="B322" t="s">
        <v>503</v>
      </c>
      <c r="C322" t="s">
        <v>18</v>
      </c>
      <c r="D322" t="s">
        <v>19</v>
      </c>
      <c r="E322" t="s">
        <v>20</v>
      </c>
      <c r="F322" t="s">
        <v>19</v>
      </c>
      <c r="G322" s="7">
        <v>2</v>
      </c>
      <c r="H322" s="1">
        <v>27993.91</v>
      </c>
      <c r="I322" t="s">
        <v>41</v>
      </c>
      <c r="J322" s="1">
        <v>55987.82</v>
      </c>
    </row>
    <row r="323" spans="1:10" x14ac:dyDescent="0.35">
      <c r="A323" s="5" t="s">
        <v>131</v>
      </c>
      <c r="B323" t="s">
        <v>504</v>
      </c>
      <c r="C323" t="s">
        <v>71</v>
      </c>
      <c r="D323" t="s">
        <v>13</v>
      </c>
      <c r="E323" t="s">
        <v>29</v>
      </c>
      <c r="F323" t="s">
        <v>13</v>
      </c>
      <c r="G323" s="7">
        <v>1</v>
      </c>
      <c r="H323" s="1">
        <v>24199.41</v>
      </c>
      <c r="I323" t="s">
        <v>30</v>
      </c>
      <c r="J323" s="1">
        <v>24199.41</v>
      </c>
    </row>
    <row r="324" spans="1:10" x14ac:dyDescent="0.35">
      <c r="A324" s="5" t="s">
        <v>223</v>
      </c>
      <c r="B324" t="s">
        <v>505</v>
      </c>
      <c r="C324" t="s">
        <v>18</v>
      </c>
      <c r="D324" t="s">
        <v>13</v>
      </c>
      <c r="E324" t="s">
        <v>14</v>
      </c>
      <c r="F324" t="s">
        <v>13</v>
      </c>
      <c r="G324" s="7">
        <v>7</v>
      </c>
      <c r="H324" s="1">
        <v>53053.2</v>
      </c>
      <c r="I324" t="s">
        <v>21</v>
      </c>
      <c r="J324" s="1">
        <v>371372.4</v>
      </c>
    </row>
    <row r="325" spans="1:10" x14ac:dyDescent="0.35">
      <c r="A325" s="5" t="s">
        <v>91</v>
      </c>
      <c r="B325" t="s">
        <v>506</v>
      </c>
      <c r="C325" t="s">
        <v>18</v>
      </c>
      <c r="D325" t="s">
        <v>24</v>
      </c>
      <c r="E325" t="s">
        <v>25</v>
      </c>
      <c r="F325" t="s">
        <v>24</v>
      </c>
      <c r="G325" s="7">
        <v>7</v>
      </c>
      <c r="H325" s="1">
        <v>743.42</v>
      </c>
      <c r="I325" t="s">
        <v>30</v>
      </c>
      <c r="J325" s="1">
        <v>5203.9399999999996</v>
      </c>
    </row>
    <row r="326" spans="1:10" x14ac:dyDescent="0.35">
      <c r="A326" s="5" t="s">
        <v>63</v>
      </c>
      <c r="B326" t="s">
        <v>507</v>
      </c>
      <c r="C326" t="s">
        <v>35</v>
      </c>
      <c r="D326" t="s">
        <v>19</v>
      </c>
      <c r="E326" t="s">
        <v>36</v>
      </c>
      <c r="F326" t="s">
        <v>19</v>
      </c>
      <c r="G326" s="7">
        <v>8</v>
      </c>
      <c r="H326" s="1">
        <v>11113.22</v>
      </c>
      <c r="I326" t="s">
        <v>21</v>
      </c>
      <c r="J326" s="1">
        <v>88905.76</v>
      </c>
    </row>
    <row r="327" spans="1:10" x14ac:dyDescent="0.35">
      <c r="A327" s="5" t="s">
        <v>461</v>
      </c>
      <c r="B327" t="s">
        <v>508</v>
      </c>
      <c r="C327" t="s">
        <v>12</v>
      </c>
      <c r="D327" t="s">
        <v>59</v>
      </c>
      <c r="E327" t="s">
        <v>60</v>
      </c>
      <c r="F327" t="s">
        <v>59</v>
      </c>
      <c r="G327" s="7">
        <v>10</v>
      </c>
      <c r="H327" s="1">
        <v>1475.11</v>
      </c>
      <c r="I327" t="s">
        <v>41</v>
      </c>
      <c r="J327" s="1">
        <v>14751.1</v>
      </c>
    </row>
    <row r="328" spans="1:10" x14ac:dyDescent="0.35">
      <c r="A328" s="5" t="s">
        <v>444</v>
      </c>
      <c r="B328" t="s">
        <v>509</v>
      </c>
      <c r="C328" t="s">
        <v>56</v>
      </c>
      <c r="D328" t="s">
        <v>24</v>
      </c>
      <c r="E328" t="s">
        <v>25</v>
      </c>
      <c r="F328" t="s">
        <v>24</v>
      </c>
      <c r="G328" s="7">
        <v>8</v>
      </c>
      <c r="H328" s="1">
        <v>765.37</v>
      </c>
      <c r="I328" t="s">
        <v>30</v>
      </c>
      <c r="J328" s="1">
        <v>6122.96</v>
      </c>
    </row>
    <row r="329" spans="1:10" x14ac:dyDescent="0.35">
      <c r="A329" s="5" t="s">
        <v>98</v>
      </c>
      <c r="B329" t="s">
        <v>510</v>
      </c>
      <c r="C329" t="s">
        <v>28</v>
      </c>
      <c r="D329" t="s">
        <v>24</v>
      </c>
      <c r="E329" t="s">
        <v>25</v>
      </c>
      <c r="F329" t="s">
        <v>24</v>
      </c>
      <c r="G329" s="7">
        <v>10</v>
      </c>
      <c r="H329" s="1">
        <v>778.96</v>
      </c>
      <c r="I329" t="s">
        <v>15</v>
      </c>
      <c r="J329" s="1">
        <v>7789.6</v>
      </c>
    </row>
    <row r="330" spans="1:10" x14ac:dyDescent="0.35">
      <c r="A330" s="5" t="s">
        <v>511</v>
      </c>
      <c r="B330" t="s">
        <v>512</v>
      </c>
      <c r="C330" t="s">
        <v>28</v>
      </c>
      <c r="D330" t="s">
        <v>19</v>
      </c>
      <c r="E330" t="s">
        <v>36</v>
      </c>
      <c r="F330" t="s">
        <v>19</v>
      </c>
      <c r="G330" s="7">
        <v>4</v>
      </c>
      <c r="H330" s="1">
        <v>12197.22</v>
      </c>
      <c r="I330" t="s">
        <v>15</v>
      </c>
      <c r="J330" s="1">
        <v>48788.88</v>
      </c>
    </row>
    <row r="331" spans="1:10" x14ac:dyDescent="0.35">
      <c r="A331" s="5" t="s">
        <v>44</v>
      </c>
      <c r="B331" t="s">
        <v>513</v>
      </c>
      <c r="C331" t="s">
        <v>28</v>
      </c>
      <c r="D331" t="s">
        <v>59</v>
      </c>
      <c r="E331" t="s">
        <v>60</v>
      </c>
      <c r="F331" t="s">
        <v>59</v>
      </c>
      <c r="G331" s="7">
        <v>6</v>
      </c>
      <c r="H331" s="1">
        <v>1572.96</v>
      </c>
      <c r="I331" t="s">
        <v>15</v>
      </c>
      <c r="J331" s="1">
        <v>9437.76</v>
      </c>
    </row>
    <row r="332" spans="1:10" x14ac:dyDescent="0.35">
      <c r="A332" s="5" t="s">
        <v>236</v>
      </c>
      <c r="B332" t="s">
        <v>514</v>
      </c>
      <c r="C332" t="s">
        <v>71</v>
      </c>
      <c r="D332" t="s">
        <v>24</v>
      </c>
      <c r="E332" t="s">
        <v>25</v>
      </c>
      <c r="F332" t="s">
        <v>24</v>
      </c>
      <c r="G332" s="7">
        <v>6</v>
      </c>
      <c r="H332" s="1">
        <v>739.19</v>
      </c>
      <c r="I332" t="s">
        <v>21</v>
      </c>
      <c r="J332" s="1">
        <v>4435.1400000000003</v>
      </c>
    </row>
    <row r="333" spans="1:10" x14ac:dyDescent="0.35">
      <c r="A333" s="5" t="s">
        <v>63</v>
      </c>
      <c r="B333" t="s">
        <v>515</v>
      </c>
      <c r="C333" t="s">
        <v>56</v>
      </c>
      <c r="D333" t="s">
        <v>13</v>
      </c>
      <c r="E333" t="s">
        <v>29</v>
      </c>
      <c r="F333" t="s">
        <v>13</v>
      </c>
      <c r="G333" s="7">
        <v>2</v>
      </c>
      <c r="H333" s="1">
        <v>26352.21</v>
      </c>
      <c r="I333" t="s">
        <v>15</v>
      </c>
      <c r="J333" s="1">
        <v>52704.42</v>
      </c>
    </row>
    <row r="334" spans="1:10" x14ac:dyDescent="0.35">
      <c r="A334" s="5" t="s">
        <v>226</v>
      </c>
      <c r="B334" t="s">
        <v>516</v>
      </c>
      <c r="C334" t="s">
        <v>35</v>
      </c>
      <c r="D334" t="s">
        <v>59</v>
      </c>
      <c r="E334" t="s">
        <v>60</v>
      </c>
      <c r="F334" t="s">
        <v>59</v>
      </c>
      <c r="G334" s="7">
        <v>6</v>
      </c>
      <c r="H334" s="1">
        <v>1644.4</v>
      </c>
      <c r="I334" t="s">
        <v>21</v>
      </c>
      <c r="J334" s="1">
        <v>9866.4</v>
      </c>
    </row>
    <row r="335" spans="1:10" x14ac:dyDescent="0.35">
      <c r="A335" s="5" t="s">
        <v>48</v>
      </c>
      <c r="B335" t="s">
        <v>517</v>
      </c>
      <c r="C335" t="s">
        <v>28</v>
      </c>
      <c r="D335" t="s">
        <v>19</v>
      </c>
      <c r="E335" t="s">
        <v>20</v>
      </c>
      <c r="F335" t="s">
        <v>19</v>
      </c>
      <c r="G335" s="7">
        <v>1</v>
      </c>
      <c r="H335" s="1">
        <v>28659.96</v>
      </c>
      <c r="I335" t="s">
        <v>21</v>
      </c>
      <c r="J335" s="1">
        <v>28659.96</v>
      </c>
    </row>
    <row r="336" spans="1:10" x14ac:dyDescent="0.35">
      <c r="A336" s="5" t="s">
        <v>248</v>
      </c>
      <c r="B336" t="s">
        <v>518</v>
      </c>
      <c r="C336" t="s">
        <v>71</v>
      </c>
      <c r="D336" t="s">
        <v>13</v>
      </c>
      <c r="E336" t="s">
        <v>29</v>
      </c>
      <c r="F336" t="s">
        <v>13</v>
      </c>
      <c r="G336" s="7">
        <v>1</v>
      </c>
      <c r="H336" s="1">
        <v>24741.48</v>
      </c>
      <c r="I336" t="s">
        <v>21</v>
      </c>
      <c r="J336" s="1">
        <v>24741.48</v>
      </c>
    </row>
    <row r="337" spans="1:10" x14ac:dyDescent="0.35">
      <c r="A337" s="5" t="s">
        <v>250</v>
      </c>
      <c r="B337" t="s">
        <v>519</v>
      </c>
      <c r="C337" t="s">
        <v>71</v>
      </c>
      <c r="D337" t="s">
        <v>13</v>
      </c>
      <c r="E337" t="s">
        <v>29</v>
      </c>
      <c r="F337" t="s">
        <v>13</v>
      </c>
      <c r="G337" s="7">
        <v>5</v>
      </c>
      <c r="H337" s="1">
        <v>23115.19</v>
      </c>
      <c r="I337" t="s">
        <v>21</v>
      </c>
      <c r="J337" s="1">
        <v>115575.95</v>
      </c>
    </row>
    <row r="338" spans="1:10" x14ac:dyDescent="0.35">
      <c r="A338" s="5" t="s">
        <v>275</v>
      </c>
      <c r="B338" t="s">
        <v>520</v>
      </c>
      <c r="C338" t="s">
        <v>56</v>
      </c>
      <c r="D338" t="s">
        <v>59</v>
      </c>
      <c r="E338" t="s">
        <v>60</v>
      </c>
      <c r="F338" t="s">
        <v>59</v>
      </c>
      <c r="G338" s="7">
        <v>5</v>
      </c>
      <c r="H338" s="1">
        <v>1453.73</v>
      </c>
      <c r="I338" t="s">
        <v>21</v>
      </c>
      <c r="J338" s="1">
        <v>7268.65</v>
      </c>
    </row>
    <row r="339" spans="1:10" x14ac:dyDescent="0.35">
      <c r="A339" s="5" t="s">
        <v>108</v>
      </c>
      <c r="B339" t="s">
        <v>521</v>
      </c>
      <c r="C339" t="s">
        <v>18</v>
      </c>
      <c r="D339" t="s">
        <v>13</v>
      </c>
      <c r="E339" t="s">
        <v>14</v>
      </c>
      <c r="F339" t="s">
        <v>13</v>
      </c>
      <c r="G339" s="7">
        <v>3</v>
      </c>
      <c r="H339" s="1">
        <v>51992.39</v>
      </c>
      <c r="I339" t="s">
        <v>21</v>
      </c>
      <c r="J339" s="1">
        <v>155977.17000000001</v>
      </c>
    </row>
    <row r="340" spans="1:10" x14ac:dyDescent="0.35">
      <c r="A340" s="5" t="s">
        <v>234</v>
      </c>
      <c r="B340" t="s">
        <v>522</v>
      </c>
      <c r="C340" t="s">
        <v>18</v>
      </c>
      <c r="D340" t="s">
        <v>19</v>
      </c>
      <c r="E340" t="s">
        <v>20</v>
      </c>
      <c r="F340" t="s">
        <v>19</v>
      </c>
      <c r="G340" s="7">
        <v>2</v>
      </c>
      <c r="H340" s="1">
        <v>31866.63</v>
      </c>
      <c r="I340" t="s">
        <v>30</v>
      </c>
      <c r="J340" s="1">
        <v>63733.26</v>
      </c>
    </row>
    <row r="341" spans="1:10" x14ac:dyDescent="0.35">
      <c r="A341" s="5" t="s">
        <v>131</v>
      </c>
      <c r="B341" t="s">
        <v>523</v>
      </c>
      <c r="C341" t="s">
        <v>12</v>
      </c>
      <c r="D341" t="s">
        <v>19</v>
      </c>
      <c r="E341" t="s">
        <v>20</v>
      </c>
      <c r="F341" t="s">
        <v>19</v>
      </c>
      <c r="G341" s="7">
        <v>4</v>
      </c>
      <c r="H341" s="1">
        <v>29242.68</v>
      </c>
      <c r="I341" t="s">
        <v>41</v>
      </c>
      <c r="J341" s="1">
        <v>116970.72</v>
      </c>
    </row>
    <row r="342" spans="1:10" x14ac:dyDescent="0.35">
      <c r="A342" s="5" t="s">
        <v>524</v>
      </c>
      <c r="B342" t="s">
        <v>525</v>
      </c>
      <c r="C342" t="s">
        <v>71</v>
      </c>
      <c r="D342" t="s">
        <v>19</v>
      </c>
      <c r="E342" t="s">
        <v>20</v>
      </c>
      <c r="F342" t="s">
        <v>19</v>
      </c>
      <c r="G342" s="7">
        <v>9</v>
      </c>
      <c r="H342" s="1">
        <v>30264.85</v>
      </c>
      <c r="I342" t="s">
        <v>21</v>
      </c>
      <c r="J342" s="1">
        <v>272383.65000000002</v>
      </c>
    </row>
    <row r="343" spans="1:10" x14ac:dyDescent="0.35">
      <c r="A343" s="5" t="s">
        <v>63</v>
      </c>
      <c r="B343" t="s">
        <v>526</v>
      </c>
      <c r="C343" t="s">
        <v>12</v>
      </c>
      <c r="D343" t="s">
        <v>59</v>
      </c>
      <c r="E343" t="s">
        <v>60</v>
      </c>
      <c r="F343" t="s">
        <v>59</v>
      </c>
      <c r="G343" s="7">
        <v>7</v>
      </c>
      <c r="H343" s="1">
        <v>1579.67</v>
      </c>
      <c r="I343" t="s">
        <v>30</v>
      </c>
      <c r="J343" s="1">
        <v>11057.69</v>
      </c>
    </row>
    <row r="344" spans="1:10" x14ac:dyDescent="0.35">
      <c r="A344" s="5" t="s">
        <v>490</v>
      </c>
      <c r="B344" t="s">
        <v>527</v>
      </c>
      <c r="C344" t="s">
        <v>71</v>
      </c>
      <c r="D344" t="s">
        <v>19</v>
      </c>
      <c r="E344" t="s">
        <v>36</v>
      </c>
      <c r="F344" t="s">
        <v>19</v>
      </c>
      <c r="G344" s="7">
        <v>5</v>
      </c>
      <c r="H344" s="1">
        <v>12015.12</v>
      </c>
      <c r="I344" t="s">
        <v>41</v>
      </c>
      <c r="J344" s="1">
        <v>60075.6</v>
      </c>
    </row>
    <row r="345" spans="1:10" x14ac:dyDescent="0.35">
      <c r="A345" s="5" t="s">
        <v>242</v>
      </c>
      <c r="B345" t="s">
        <v>528</v>
      </c>
      <c r="C345" t="s">
        <v>71</v>
      </c>
      <c r="D345" t="s">
        <v>13</v>
      </c>
      <c r="E345" t="s">
        <v>14</v>
      </c>
      <c r="F345" t="s">
        <v>13</v>
      </c>
      <c r="G345" s="7">
        <v>1</v>
      </c>
      <c r="H345" s="1">
        <v>53821.01</v>
      </c>
      <c r="I345" t="s">
        <v>21</v>
      </c>
      <c r="J345" s="1">
        <v>53821.01</v>
      </c>
    </row>
    <row r="346" spans="1:10" x14ac:dyDescent="0.35">
      <c r="A346" s="5" t="s">
        <v>290</v>
      </c>
      <c r="B346" t="s">
        <v>529</v>
      </c>
      <c r="C346" t="s">
        <v>56</v>
      </c>
      <c r="D346" t="s">
        <v>13</v>
      </c>
      <c r="E346" t="s">
        <v>29</v>
      </c>
      <c r="F346" t="s">
        <v>13</v>
      </c>
      <c r="G346" s="7">
        <v>7</v>
      </c>
      <c r="H346" s="1">
        <v>25494.97</v>
      </c>
      <c r="I346" t="s">
        <v>15</v>
      </c>
      <c r="J346" s="1">
        <v>178464.79</v>
      </c>
    </row>
    <row r="347" spans="1:10" x14ac:dyDescent="0.35">
      <c r="A347" s="5" t="s">
        <v>162</v>
      </c>
      <c r="B347" t="s">
        <v>530</v>
      </c>
      <c r="C347" t="s">
        <v>12</v>
      </c>
      <c r="D347" t="s">
        <v>13</v>
      </c>
      <c r="E347" t="s">
        <v>14</v>
      </c>
      <c r="F347" t="s">
        <v>13</v>
      </c>
      <c r="G347" s="7">
        <v>9</v>
      </c>
      <c r="H347" s="1">
        <v>54147.8</v>
      </c>
      <c r="I347" t="s">
        <v>21</v>
      </c>
      <c r="J347" s="1">
        <v>487330.2</v>
      </c>
    </row>
    <row r="348" spans="1:10" x14ac:dyDescent="0.35">
      <c r="A348" s="5" t="s">
        <v>39</v>
      </c>
      <c r="B348" t="s">
        <v>531</v>
      </c>
      <c r="C348" t="s">
        <v>18</v>
      </c>
      <c r="D348" t="s">
        <v>13</v>
      </c>
      <c r="E348" t="s">
        <v>29</v>
      </c>
      <c r="F348" t="s">
        <v>13</v>
      </c>
      <c r="G348" s="7">
        <v>7</v>
      </c>
      <c r="H348" s="1">
        <v>22543.19</v>
      </c>
      <c r="I348" t="s">
        <v>21</v>
      </c>
      <c r="J348" s="1">
        <v>157802.32999999999</v>
      </c>
    </row>
    <row r="349" spans="1:10" x14ac:dyDescent="0.35">
      <c r="A349" s="5" t="s">
        <v>93</v>
      </c>
      <c r="B349" t="s">
        <v>532</v>
      </c>
      <c r="C349" t="s">
        <v>28</v>
      </c>
      <c r="D349" t="s">
        <v>59</v>
      </c>
      <c r="E349" t="s">
        <v>60</v>
      </c>
      <c r="F349" t="s">
        <v>59</v>
      </c>
      <c r="G349" s="7">
        <v>5</v>
      </c>
      <c r="H349" s="1">
        <v>1540.56</v>
      </c>
      <c r="I349" t="s">
        <v>30</v>
      </c>
      <c r="J349" s="1">
        <v>7702.8</v>
      </c>
    </row>
    <row r="350" spans="1:10" x14ac:dyDescent="0.35">
      <c r="A350" s="5" t="s">
        <v>212</v>
      </c>
      <c r="B350" t="s">
        <v>533</v>
      </c>
      <c r="C350" t="s">
        <v>28</v>
      </c>
      <c r="D350" t="s">
        <v>13</v>
      </c>
      <c r="E350" t="s">
        <v>29</v>
      </c>
      <c r="F350" t="s">
        <v>13</v>
      </c>
      <c r="G350" s="7">
        <v>9</v>
      </c>
      <c r="H350" s="1">
        <v>27038.799999999999</v>
      </c>
      <c r="I350" t="s">
        <v>41</v>
      </c>
      <c r="J350" s="1">
        <v>243349.2</v>
      </c>
    </row>
    <row r="351" spans="1:10" x14ac:dyDescent="0.35">
      <c r="A351" s="5" t="s">
        <v>469</v>
      </c>
      <c r="B351" t="s">
        <v>534</v>
      </c>
      <c r="C351" t="s">
        <v>56</v>
      </c>
      <c r="D351" t="s">
        <v>19</v>
      </c>
      <c r="E351" t="s">
        <v>20</v>
      </c>
      <c r="F351" t="s">
        <v>19</v>
      </c>
      <c r="G351" s="7">
        <v>6</v>
      </c>
      <c r="H351" s="1">
        <v>31778.75</v>
      </c>
      <c r="I351" t="s">
        <v>15</v>
      </c>
      <c r="J351" s="1">
        <v>190672.5</v>
      </c>
    </row>
    <row r="352" spans="1:10" x14ac:dyDescent="0.35">
      <c r="A352" s="5" t="s">
        <v>354</v>
      </c>
      <c r="B352" t="s">
        <v>535</v>
      </c>
      <c r="C352" t="s">
        <v>28</v>
      </c>
      <c r="D352" t="s">
        <v>24</v>
      </c>
      <c r="E352" t="s">
        <v>25</v>
      </c>
      <c r="F352" t="s">
        <v>24</v>
      </c>
      <c r="G352" s="7">
        <v>1</v>
      </c>
      <c r="H352" s="1">
        <v>869.42</v>
      </c>
      <c r="I352" t="s">
        <v>30</v>
      </c>
      <c r="J352" s="1">
        <v>869.42</v>
      </c>
    </row>
    <row r="353" spans="1:10" x14ac:dyDescent="0.35">
      <c r="A353" s="5" t="s">
        <v>536</v>
      </c>
      <c r="B353" t="s">
        <v>537</v>
      </c>
      <c r="C353" t="s">
        <v>28</v>
      </c>
      <c r="D353" t="s">
        <v>13</v>
      </c>
      <c r="E353" t="s">
        <v>14</v>
      </c>
      <c r="F353" t="s">
        <v>13</v>
      </c>
      <c r="G353" s="7">
        <v>1</v>
      </c>
      <c r="H353" s="1">
        <v>58471.99</v>
      </c>
      <c r="I353" t="s">
        <v>30</v>
      </c>
      <c r="J353" s="1">
        <v>58471.99</v>
      </c>
    </row>
    <row r="354" spans="1:10" x14ac:dyDescent="0.35">
      <c r="A354" s="5" t="s">
        <v>538</v>
      </c>
      <c r="B354" t="s">
        <v>539</v>
      </c>
      <c r="C354" t="s">
        <v>35</v>
      </c>
      <c r="D354" t="s">
        <v>59</v>
      </c>
      <c r="E354" t="s">
        <v>60</v>
      </c>
      <c r="F354" t="s">
        <v>59</v>
      </c>
      <c r="G354" s="7">
        <v>2</v>
      </c>
      <c r="H354" s="1">
        <v>1470.62</v>
      </c>
      <c r="I354" t="s">
        <v>30</v>
      </c>
      <c r="J354" s="1">
        <v>2941.24</v>
      </c>
    </row>
    <row r="355" spans="1:10" x14ac:dyDescent="0.35">
      <c r="A355" s="5" t="s">
        <v>218</v>
      </c>
      <c r="B355" t="s">
        <v>540</v>
      </c>
      <c r="C355" t="s">
        <v>56</v>
      </c>
      <c r="D355" t="s">
        <v>24</v>
      </c>
      <c r="E355" t="s">
        <v>25</v>
      </c>
      <c r="F355" t="s">
        <v>24</v>
      </c>
      <c r="G355" s="7">
        <v>2</v>
      </c>
      <c r="H355" s="1">
        <v>856.24</v>
      </c>
      <c r="I355" t="s">
        <v>21</v>
      </c>
      <c r="J355" s="1">
        <v>1712.48</v>
      </c>
    </row>
    <row r="356" spans="1:10" x14ac:dyDescent="0.35">
      <c r="A356" s="5" t="s">
        <v>541</v>
      </c>
      <c r="B356" t="s">
        <v>542</v>
      </c>
      <c r="C356" t="s">
        <v>71</v>
      </c>
      <c r="D356" t="s">
        <v>13</v>
      </c>
      <c r="E356" t="s">
        <v>14</v>
      </c>
      <c r="F356" t="s">
        <v>13</v>
      </c>
      <c r="G356" s="7">
        <v>1</v>
      </c>
      <c r="H356" s="1">
        <v>56985.94</v>
      </c>
      <c r="I356" t="s">
        <v>15</v>
      </c>
      <c r="J356" s="1">
        <v>56985.94</v>
      </c>
    </row>
    <row r="357" spans="1:10" x14ac:dyDescent="0.35">
      <c r="A357" s="5" t="s">
        <v>434</v>
      </c>
      <c r="B357" t="s">
        <v>543</v>
      </c>
      <c r="C357" t="s">
        <v>56</v>
      </c>
      <c r="D357" t="s">
        <v>59</v>
      </c>
      <c r="E357" t="s">
        <v>60</v>
      </c>
      <c r="F357" t="s">
        <v>59</v>
      </c>
      <c r="G357" s="7">
        <v>1</v>
      </c>
      <c r="H357" s="1">
        <v>1429.27</v>
      </c>
      <c r="I357" t="s">
        <v>41</v>
      </c>
      <c r="J357" s="1">
        <v>1429.27</v>
      </c>
    </row>
    <row r="358" spans="1:10" x14ac:dyDescent="0.35">
      <c r="A358" s="5" t="s">
        <v>155</v>
      </c>
      <c r="B358" t="s">
        <v>544</v>
      </c>
      <c r="C358" t="s">
        <v>35</v>
      </c>
      <c r="D358" t="s">
        <v>59</v>
      </c>
      <c r="E358" t="s">
        <v>60</v>
      </c>
      <c r="F358" t="s">
        <v>59</v>
      </c>
      <c r="G358" s="7">
        <v>7</v>
      </c>
      <c r="H358" s="1">
        <v>1552.82</v>
      </c>
      <c r="I358" t="s">
        <v>41</v>
      </c>
      <c r="J358" s="1">
        <v>10869.74</v>
      </c>
    </row>
    <row r="359" spans="1:10" x14ac:dyDescent="0.35">
      <c r="A359" s="5" t="s">
        <v>164</v>
      </c>
      <c r="B359" t="s">
        <v>545</v>
      </c>
      <c r="C359" t="s">
        <v>12</v>
      </c>
      <c r="D359" t="s">
        <v>13</v>
      </c>
      <c r="E359" t="s">
        <v>29</v>
      </c>
      <c r="F359" t="s">
        <v>13</v>
      </c>
      <c r="G359" s="7">
        <v>10</v>
      </c>
      <c r="H359" s="1">
        <v>23345.83</v>
      </c>
      <c r="I359" t="s">
        <v>41</v>
      </c>
      <c r="J359" s="1">
        <v>233458.3</v>
      </c>
    </row>
    <row r="360" spans="1:10" x14ac:dyDescent="0.35">
      <c r="A360" s="5" t="s">
        <v>403</v>
      </c>
      <c r="B360" t="s">
        <v>546</v>
      </c>
      <c r="C360" t="s">
        <v>71</v>
      </c>
      <c r="D360" t="s">
        <v>13</v>
      </c>
      <c r="E360" t="s">
        <v>14</v>
      </c>
      <c r="F360" t="s">
        <v>13</v>
      </c>
      <c r="G360" s="7">
        <v>4</v>
      </c>
      <c r="H360" s="1">
        <v>55122.32</v>
      </c>
      <c r="I360" t="s">
        <v>21</v>
      </c>
      <c r="J360" s="1">
        <v>220489.28</v>
      </c>
    </row>
    <row r="361" spans="1:10" x14ac:dyDescent="0.35">
      <c r="A361" s="5" t="s">
        <v>351</v>
      </c>
      <c r="B361" t="s">
        <v>547</v>
      </c>
      <c r="C361" t="s">
        <v>71</v>
      </c>
      <c r="D361" t="s">
        <v>13</v>
      </c>
      <c r="E361" t="s">
        <v>14</v>
      </c>
      <c r="F361" t="s">
        <v>13</v>
      </c>
      <c r="G361" s="7">
        <v>4</v>
      </c>
      <c r="H361" s="1">
        <v>60243.23</v>
      </c>
      <c r="I361" t="s">
        <v>15</v>
      </c>
      <c r="J361" s="1">
        <v>240972.92</v>
      </c>
    </row>
    <row r="362" spans="1:10" x14ac:dyDescent="0.35">
      <c r="A362" s="5" t="s">
        <v>257</v>
      </c>
      <c r="B362" t="s">
        <v>548</v>
      </c>
      <c r="C362" t="s">
        <v>71</v>
      </c>
      <c r="D362" t="s">
        <v>19</v>
      </c>
      <c r="E362" t="s">
        <v>36</v>
      </c>
      <c r="F362" t="s">
        <v>19</v>
      </c>
      <c r="G362" s="7">
        <v>1</v>
      </c>
      <c r="H362" s="1">
        <v>12532.4</v>
      </c>
      <c r="I362" t="s">
        <v>41</v>
      </c>
      <c r="J362" s="1">
        <v>12532.4</v>
      </c>
    </row>
    <row r="363" spans="1:10" x14ac:dyDescent="0.35">
      <c r="A363" s="5" t="s">
        <v>65</v>
      </c>
      <c r="B363" t="s">
        <v>549</v>
      </c>
      <c r="C363" t="s">
        <v>35</v>
      </c>
      <c r="D363" t="s">
        <v>13</v>
      </c>
      <c r="E363" t="s">
        <v>29</v>
      </c>
      <c r="F363" t="s">
        <v>13</v>
      </c>
      <c r="G363" s="7">
        <v>1</v>
      </c>
      <c r="H363" s="1">
        <v>23248.28</v>
      </c>
      <c r="I363" t="s">
        <v>15</v>
      </c>
      <c r="J363" s="1">
        <v>23248.28</v>
      </c>
    </row>
    <row r="364" spans="1:10" x14ac:dyDescent="0.35">
      <c r="A364" s="5" t="s">
        <v>110</v>
      </c>
      <c r="B364" t="s">
        <v>550</v>
      </c>
      <c r="C364" t="s">
        <v>56</v>
      </c>
      <c r="D364" t="s">
        <v>13</v>
      </c>
      <c r="E364" t="s">
        <v>29</v>
      </c>
      <c r="F364" t="s">
        <v>13</v>
      </c>
      <c r="G364" s="7">
        <v>4</v>
      </c>
      <c r="H364" s="1">
        <v>25426.48</v>
      </c>
      <c r="I364" t="s">
        <v>21</v>
      </c>
      <c r="J364" s="1">
        <v>101705.92</v>
      </c>
    </row>
    <row r="365" spans="1:10" x14ac:dyDescent="0.35">
      <c r="A365" s="5" t="s">
        <v>551</v>
      </c>
      <c r="B365" t="s">
        <v>552</v>
      </c>
      <c r="C365" t="s">
        <v>18</v>
      </c>
      <c r="D365" t="s">
        <v>19</v>
      </c>
      <c r="E365" t="s">
        <v>20</v>
      </c>
      <c r="F365" t="s">
        <v>19</v>
      </c>
      <c r="G365" s="7">
        <v>4</v>
      </c>
      <c r="H365" s="1">
        <v>28075.11</v>
      </c>
      <c r="I365" t="s">
        <v>15</v>
      </c>
      <c r="J365" s="1">
        <v>112300.44</v>
      </c>
    </row>
    <row r="366" spans="1:10" x14ac:dyDescent="0.35">
      <c r="A366" s="5" t="s">
        <v>75</v>
      </c>
      <c r="B366" t="s">
        <v>553</v>
      </c>
      <c r="C366" t="s">
        <v>18</v>
      </c>
      <c r="D366" t="s">
        <v>19</v>
      </c>
      <c r="E366" t="s">
        <v>20</v>
      </c>
      <c r="F366" t="s">
        <v>19</v>
      </c>
      <c r="G366" s="7">
        <v>5</v>
      </c>
      <c r="H366" s="1">
        <v>30719.39</v>
      </c>
      <c r="I366" t="s">
        <v>30</v>
      </c>
      <c r="J366" s="1">
        <v>153596.95000000001</v>
      </c>
    </row>
    <row r="367" spans="1:10" x14ac:dyDescent="0.35">
      <c r="A367" s="5" t="s">
        <v>194</v>
      </c>
      <c r="B367" t="s">
        <v>554</v>
      </c>
      <c r="C367" t="s">
        <v>18</v>
      </c>
      <c r="D367" t="s">
        <v>19</v>
      </c>
      <c r="E367" t="s">
        <v>20</v>
      </c>
      <c r="F367" t="s">
        <v>19</v>
      </c>
      <c r="G367" s="7">
        <v>6</v>
      </c>
      <c r="H367" s="1">
        <v>30172.33</v>
      </c>
      <c r="I367" t="s">
        <v>30</v>
      </c>
      <c r="J367" s="1">
        <v>181033.98</v>
      </c>
    </row>
    <row r="368" spans="1:10" x14ac:dyDescent="0.35">
      <c r="A368" s="5" t="s">
        <v>226</v>
      </c>
      <c r="B368" t="s">
        <v>555</v>
      </c>
      <c r="C368" t="s">
        <v>18</v>
      </c>
      <c r="D368" t="s">
        <v>19</v>
      </c>
      <c r="E368" t="s">
        <v>36</v>
      </c>
      <c r="F368" t="s">
        <v>19</v>
      </c>
      <c r="G368" s="7">
        <v>7</v>
      </c>
      <c r="H368" s="1">
        <v>11196.75</v>
      </c>
      <c r="I368" t="s">
        <v>15</v>
      </c>
      <c r="J368" s="1">
        <v>78377.25</v>
      </c>
    </row>
    <row r="369" spans="1:10" x14ac:dyDescent="0.35">
      <c r="A369" s="5" t="s">
        <v>282</v>
      </c>
      <c r="B369" t="s">
        <v>556</v>
      </c>
      <c r="C369" t="s">
        <v>71</v>
      </c>
      <c r="D369" t="s">
        <v>13</v>
      </c>
      <c r="E369" t="s">
        <v>14</v>
      </c>
      <c r="F369" t="s">
        <v>13</v>
      </c>
      <c r="G369" s="7">
        <v>6</v>
      </c>
      <c r="H369" s="1">
        <v>57716.19</v>
      </c>
      <c r="I369" t="s">
        <v>15</v>
      </c>
      <c r="J369" s="1">
        <v>346297.14</v>
      </c>
    </row>
    <row r="370" spans="1:10" x14ac:dyDescent="0.35">
      <c r="A370" s="5" t="s">
        <v>292</v>
      </c>
      <c r="B370" t="s">
        <v>557</v>
      </c>
      <c r="C370" t="s">
        <v>56</v>
      </c>
      <c r="D370" t="s">
        <v>24</v>
      </c>
      <c r="E370" t="s">
        <v>25</v>
      </c>
      <c r="F370" t="s">
        <v>24</v>
      </c>
      <c r="G370" s="7">
        <v>8</v>
      </c>
      <c r="H370" s="1">
        <v>775.08</v>
      </c>
      <c r="I370" t="s">
        <v>41</v>
      </c>
      <c r="J370" s="1">
        <v>6200.64</v>
      </c>
    </row>
    <row r="371" spans="1:10" x14ac:dyDescent="0.35">
      <c r="A371" s="5" t="s">
        <v>403</v>
      </c>
      <c r="B371" t="s">
        <v>558</v>
      </c>
      <c r="C371" t="s">
        <v>71</v>
      </c>
      <c r="D371" t="s">
        <v>13</v>
      </c>
      <c r="E371" t="s">
        <v>29</v>
      </c>
      <c r="F371" t="s">
        <v>13</v>
      </c>
      <c r="G371" s="7">
        <v>10</v>
      </c>
      <c r="H371" s="1">
        <v>25864.15</v>
      </c>
      <c r="I371" t="s">
        <v>21</v>
      </c>
      <c r="J371" s="1">
        <v>258641.5</v>
      </c>
    </row>
    <row r="372" spans="1:10" x14ac:dyDescent="0.35">
      <c r="A372" s="5" t="s">
        <v>320</v>
      </c>
      <c r="B372" t="s">
        <v>559</v>
      </c>
      <c r="C372" t="s">
        <v>28</v>
      </c>
      <c r="D372" t="s">
        <v>13</v>
      </c>
      <c r="E372" t="s">
        <v>29</v>
      </c>
      <c r="F372" t="s">
        <v>13</v>
      </c>
      <c r="G372" s="7">
        <v>5</v>
      </c>
      <c r="H372" s="1">
        <v>26454.31</v>
      </c>
      <c r="I372" t="s">
        <v>21</v>
      </c>
      <c r="J372" s="1">
        <v>132271.54999999999</v>
      </c>
    </row>
    <row r="373" spans="1:10" x14ac:dyDescent="0.35">
      <c r="A373" s="5" t="s">
        <v>448</v>
      </c>
      <c r="B373" t="s">
        <v>560</v>
      </c>
      <c r="C373" t="s">
        <v>28</v>
      </c>
      <c r="D373" t="s">
        <v>19</v>
      </c>
      <c r="E373" t="s">
        <v>36</v>
      </c>
      <c r="F373" t="s">
        <v>19</v>
      </c>
      <c r="G373" s="7">
        <v>1</v>
      </c>
      <c r="H373" s="1">
        <v>11148.6</v>
      </c>
      <c r="I373" t="s">
        <v>15</v>
      </c>
      <c r="J373" s="1">
        <v>11148.6</v>
      </c>
    </row>
    <row r="374" spans="1:10" x14ac:dyDescent="0.35">
      <c r="A374" s="5" t="s">
        <v>561</v>
      </c>
      <c r="B374" t="s">
        <v>562</v>
      </c>
      <c r="C374" t="s">
        <v>71</v>
      </c>
      <c r="D374" t="s">
        <v>19</v>
      </c>
      <c r="E374" t="s">
        <v>20</v>
      </c>
      <c r="F374" t="s">
        <v>19</v>
      </c>
      <c r="G374" s="7">
        <v>7</v>
      </c>
      <c r="H374" s="1">
        <v>32365.41</v>
      </c>
      <c r="I374" t="s">
        <v>15</v>
      </c>
      <c r="J374" s="1">
        <v>226557.87</v>
      </c>
    </row>
    <row r="375" spans="1:10" x14ac:dyDescent="0.35">
      <c r="A375" s="5" t="s">
        <v>50</v>
      </c>
      <c r="B375" t="s">
        <v>563</v>
      </c>
      <c r="C375" t="s">
        <v>56</v>
      </c>
      <c r="D375" t="s">
        <v>13</v>
      </c>
      <c r="E375" t="s">
        <v>14</v>
      </c>
      <c r="F375" t="s">
        <v>13</v>
      </c>
      <c r="G375" s="7">
        <v>9</v>
      </c>
      <c r="H375" s="1">
        <v>56203.81</v>
      </c>
      <c r="I375" t="s">
        <v>21</v>
      </c>
      <c r="J375" s="1">
        <v>505834.29</v>
      </c>
    </row>
    <row r="376" spans="1:10" x14ac:dyDescent="0.35">
      <c r="A376" s="5" t="s">
        <v>485</v>
      </c>
      <c r="B376" t="s">
        <v>564</v>
      </c>
      <c r="C376" t="s">
        <v>71</v>
      </c>
      <c r="D376" t="s">
        <v>19</v>
      </c>
      <c r="E376" t="s">
        <v>20</v>
      </c>
      <c r="F376" t="s">
        <v>19</v>
      </c>
      <c r="G376" s="7">
        <v>2</v>
      </c>
      <c r="H376" s="1">
        <v>31956.66</v>
      </c>
      <c r="I376" t="s">
        <v>15</v>
      </c>
      <c r="J376" s="1">
        <v>63913.32</v>
      </c>
    </row>
    <row r="377" spans="1:10" x14ac:dyDescent="0.35">
      <c r="A377" s="5" t="s">
        <v>451</v>
      </c>
      <c r="B377" t="s">
        <v>565</v>
      </c>
      <c r="C377" t="s">
        <v>28</v>
      </c>
      <c r="D377" t="s">
        <v>13</v>
      </c>
      <c r="E377" t="s">
        <v>29</v>
      </c>
      <c r="F377" t="s">
        <v>13</v>
      </c>
      <c r="G377" s="7">
        <v>6</v>
      </c>
      <c r="H377" s="1">
        <v>25265.71</v>
      </c>
      <c r="I377" t="s">
        <v>30</v>
      </c>
      <c r="J377" s="1">
        <v>151594.26</v>
      </c>
    </row>
    <row r="378" spans="1:10" x14ac:dyDescent="0.35">
      <c r="A378" s="5" t="s">
        <v>561</v>
      </c>
      <c r="B378" t="s">
        <v>566</v>
      </c>
      <c r="C378" t="s">
        <v>18</v>
      </c>
      <c r="D378" t="s">
        <v>19</v>
      </c>
      <c r="E378" t="s">
        <v>36</v>
      </c>
      <c r="F378" t="s">
        <v>19</v>
      </c>
      <c r="G378" s="7">
        <v>3</v>
      </c>
      <c r="H378" s="1">
        <v>12035.5</v>
      </c>
      <c r="I378" t="s">
        <v>21</v>
      </c>
      <c r="J378" s="1">
        <v>36106.5</v>
      </c>
    </row>
    <row r="379" spans="1:10" x14ac:dyDescent="0.35">
      <c r="A379" s="5" t="s">
        <v>128</v>
      </c>
      <c r="B379" t="s">
        <v>567</v>
      </c>
      <c r="C379" t="s">
        <v>71</v>
      </c>
      <c r="D379" t="s">
        <v>13</v>
      </c>
      <c r="E379" t="s">
        <v>14</v>
      </c>
      <c r="F379" t="s">
        <v>13</v>
      </c>
      <c r="G379" s="7">
        <v>5</v>
      </c>
      <c r="H379" s="1">
        <v>56353.54</v>
      </c>
      <c r="I379" t="s">
        <v>30</v>
      </c>
      <c r="J379" s="1">
        <v>281767.7</v>
      </c>
    </row>
    <row r="380" spans="1:10" x14ac:dyDescent="0.35">
      <c r="A380" s="5" t="s">
        <v>405</v>
      </c>
      <c r="B380" t="s">
        <v>568</v>
      </c>
      <c r="C380" t="s">
        <v>18</v>
      </c>
      <c r="D380" t="s">
        <v>13</v>
      </c>
      <c r="E380" t="s">
        <v>14</v>
      </c>
      <c r="F380" t="s">
        <v>13</v>
      </c>
      <c r="G380" s="7">
        <v>7</v>
      </c>
      <c r="H380" s="1">
        <v>51405.08</v>
      </c>
      <c r="I380" t="s">
        <v>41</v>
      </c>
      <c r="J380" s="1">
        <v>359835.56</v>
      </c>
    </row>
    <row r="381" spans="1:10" x14ac:dyDescent="0.35">
      <c r="A381" s="5" t="s">
        <v>221</v>
      </c>
      <c r="B381" t="s">
        <v>569</v>
      </c>
      <c r="C381" t="s">
        <v>56</v>
      </c>
      <c r="D381" t="s">
        <v>19</v>
      </c>
      <c r="E381" t="s">
        <v>36</v>
      </c>
      <c r="F381" t="s">
        <v>19</v>
      </c>
      <c r="G381" s="7">
        <v>7</v>
      </c>
      <c r="H381" s="1">
        <v>11593.05</v>
      </c>
      <c r="I381" t="s">
        <v>30</v>
      </c>
      <c r="J381" s="1">
        <v>81151.350000000006</v>
      </c>
    </row>
    <row r="382" spans="1:10" x14ac:dyDescent="0.35">
      <c r="A382" s="5" t="s">
        <v>338</v>
      </c>
      <c r="B382" t="s">
        <v>570</v>
      </c>
      <c r="C382" t="s">
        <v>18</v>
      </c>
      <c r="D382" t="s">
        <v>19</v>
      </c>
      <c r="E382" t="s">
        <v>36</v>
      </c>
      <c r="F382" t="s">
        <v>19</v>
      </c>
      <c r="G382" s="7">
        <v>7</v>
      </c>
      <c r="H382" s="1">
        <v>12012.44</v>
      </c>
      <c r="I382" t="s">
        <v>30</v>
      </c>
      <c r="J382" s="1">
        <v>84087.08</v>
      </c>
    </row>
    <row r="383" spans="1:10" x14ac:dyDescent="0.35">
      <c r="A383" s="5" t="s">
        <v>411</v>
      </c>
      <c r="B383" t="s">
        <v>571</v>
      </c>
      <c r="C383" t="s">
        <v>28</v>
      </c>
      <c r="D383" t="s">
        <v>24</v>
      </c>
      <c r="E383" t="s">
        <v>25</v>
      </c>
      <c r="F383" t="s">
        <v>24</v>
      </c>
      <c r="G383" s="7">
        <v>6</v>
      </c>
      <c r="H383" s="1">
        <v>747.69</v>
      </c>
      <c r="I383" t="s">
        <v>30</v>
      </c>
      <c r="J383" s="1">
        <v>4486.1400000000003</v>
      </c>
    </row>
    <row r="384" spans="1:10" x14ac:dyDescent="0.35">
      <c r="A384" s="5" t="s">
        <v>345</v>
      </c>
      <c r="B384" t="s">
        <v>572</v>
      </c>
      <c r="C384" t="s">
        <v>12</v>
      </c>
      <c r="D384" t="s">
        <v>13</v>
      </c>
      <c r="E384" t="s">
        <v>29</v>
      </c>
      <c r="F384" t="s">
        <v>13</v>
      </c>
      <c r="G384" s="7">
        <v>10</v>
      </c>
      <c r="H384" s="1">
        <v>26669.16</v>
      </c>
      <c r="I384" t="s">
        <v>15</v>
      </c>
      <c r="J384" s="1">
        <v>266691.59999999998</v>
      </c>
    </row>
    <row r="385" spans="1:10" x14ac:dyDescent="0.35">
      <c r="A385" s="5" t="s">
        <v>150</v>
      </c>
      <c r="B385" t="s">
        <v>573</v>
      </c>
      <c r="C385" t="s">
        <v>18</v>
      </c>
      <c r="D385" t="s">
        <v>13</v>
      </c>
      <c r="E385" t="s">
        <v>29</v>
      </c>
      <c r="F385" t="s">
        <v>13</v>
      </c>
      <c r="G385" s="7">
        <v>6</v>
      </c>
      <c r="H385" s="1">
        <v>25842.78</v>
      </c>
      <c r="I385" t="s">
        <v>15</v>
      </c>
      <c r="J385" s="1">
        <v>155056.68</v>
      </c>
    </row>
    <row r="386" spans="1:10" x14ac:dyDescent="0.35">
      <c r="A386" s="5" t="s">
        <v>212</v>
      </c>
      <c r="B386" t="s">
        <v>574</v>
      </c>
      <c r="C386" t="s">
        <v>71</v>
      </c>
      <c r="D386" t="s">
        <v>24</v>
      </c>
      <c r="E386" t="s">
        <v>25</v>
      </c>
      <c r="F386" t="s">
        <v>24</v>
      </c>
      <c r="G386" s="7">
        <v>8</v>
      </c>
      <c r="H386" s="1">
        <v>723.44</v>
      </c>
      <c r="I386" t="s">
        <v>41</v>
      </c>
      <c r="J386" s="1">
        <v>5787.52</v>
      </c>
    </row>
    <row r="387" spans="1:10" x14ac:dyDescent="0.35">
      <c r="A387" s="5" t="s">
        <v>93</v>
      </c>
      <c r="B387" t="s">
        <v>575</v>
      </c>
      <c r="C387" t="s">
        <v>71</v>
      </c>
      <c r="D387" t="s">
        <v>13</v>
      </c>
      <c r="E387" t="s">
        <v>14</v>
      </c>
      <c r="F387" t="s">
        <v>13</v>
      </c>
      <c r="G387" s="7">
        <v>6</v>
      </c>
      <c r="H387" s="1">
        <v>53221.81</v>
      </c>
      <c r="I387" t="s">
        <v>30</v>
      </c>
      <c r="J387" s="1">
        <v>319330.86</v>
      </c>
    </row>
    <row r="388" spans="1:10" x14ac:dyDescent="0.35">
      <c r="A388" s="5" t="s">
        <v>328</v>
      </c>
      <c r="B388" t="s">
        <v>576</v>
      </c>
      <c r="C388" t="s">
        <v>18</v>
      </c>
      <c r="D388" t="s">
        <v>24</v>
      </c>
      <c r="E388" t="s">
        <v>25</v>
      </c>
      <c r="F388" t="s">
        <v>24</v>
      </c>
      <c r="G388" s="7">
        <v>10</v>
      </c>
      <c r="H388" s="1">
        <v>829.57</v>
      </c>
      <c r="I388" t="s">
        <v>21</v>
      </c>
      <c r="J388" s="1">
        <v>8295.7000000000007</v>
      </c>
    </row>
    <row r="389" spans="1:10" x14ac:dyDescent="0.35">
      <c r="A389" s="5" t="s">
        <v>172</v>
      </c>
      <c r="B389" t="s">
        <v>577</v>
      </c>
      <c r="C389" t="s">
        <v>12</v>
      </c>
      <c r="D389" t="s">
        <v>24</v>
      </c>
      <c r="E389" t="s">
        <v>25</v>
      </c>
      <c r="F389" t="s">
        <v>24</v>
      </c>
      <c r="G389" s="7">
        <v>2</v>
      </c>
      <c r="H389" s="1">
        <v>777.49</v>
      </c>
      <c r="I389" t="s">
        <v>41</v>
      </c>
      <c r="J389" s="1">
        <v>1554.98</v>
      </c>
    </row>
    <row r="390" spans="1:10" x14ac:dyDescent="0.35">
      <c r="A390" s="5" t="s">
        <v>10</v>
      </c>
      <c r="B390" t="s">
        <v>578</v>
      </c>
      <c r="C390" t="s">
        <v>35</v>
      </c>
      <c r="D390" t="s">
        <v>19</v>
      </c>
      <c r="E390" t="s">
        <v>20</v>
      </c>
      <c r="F390" t="s">
        <v>19</v>
      </c>
      <c r="G390" s="7">
        <v>7</v>
      </c>
      <c r="H390" s="1">
        <v>31188.65</v>
      </c>
      <c r="I390" t="s">
        <v>15</v>
      </c>
      <c r="J390" s="1">
        <v>218320.55</v>
      </c>
    </row>
    <row r="391" spans="1:10" x14ac:dyDescent="0.35">
      <c r="A391" s="5" t="s">
        <v>561</v>
      </c>
      <c r="B391" t="s">
        <v>579</v>
      </c>
      <c r="C391" t="s">
        <v>71</v>
      </c>
      <c r="D391" t="s">
        <v>13</v>
      </c>
      <c r="E391" t="s">
        <v>29</v>
      </c>
      <c r="F391" t="s">
        <v>13</v>
      </c>
      <c r="G391" s="7">
        <v>1</v>
      </c>
      <c r="H391" s="1">
        <v>23937.86</v>
      </c>
      <c r="I391" t="s">
        <v>15</v>
      </c>
      <c r="J391" s="1">
        <v>23937.86</v>
      </c>
    </row>
    <row r="392" spans="1:10" x14ac:dyDescent="0.35">
      <c r="A392" s="5" t="s">
        <v>405</v>
      </c>
      <c r="B392" t="s">
        <v>580</v>
      </c>
      <c r="C392" t="s">
        <v>35</v>
      </c>
      <c r="D392" t="s">
        <v>59</v>
      </c>
      <c r="E392" t="s">
        <v>60</v>
      </c>
      <c r="F392" t="s">
        <v>59</v>
      </c>
      <c r="G392" s="7">
        <v>7</v>
      </c>
      <c r="H392" s="1">
        <v>1396.76</v>
      </c>
      <c r="I392" t="s">
        <v>15</v>
      </c>
      <c r="J392" s="1">
        <v>9777.32</v>
      </c>
    </row>
    <row r="393" spans="1:10" x14ac:dyDescent="0.35">
      <c r="A393" s="5" t="s">
        <v>105</v>
      </c>
      <c r="B393" t="s">
        <v>581</v>
      </c>
      <c r="C393" t="s">
        <v>28</v>
      </c>
      <c r="D393" t="s">
        <v>13</v>
      </c>
      <c r="E393" t="s">
        <v>14</v>
      </c>
      <c r="F393" t="s">
        <v>13</v>
      </c>
      <c r="G393" s="7">
        <v>9</v>
      </c>
      <c r="H393" s="1">
        <v>49725.33</v>
      </c>
      <c r="I393" t="s">
        <v>21</v>
      </c>
      <c r="J393" s="1">
        <v>447527.97</v>
      </c>
    </row>
    <row r="394" spans="1:10" x14ac:dyDescent="0.35">
      <c r="A394" s="5" t="s">
        <v>275</v>
      </c>
      <c r="B394" t="s">
        <v>582</v>
      </c>
      <c r="C394" t="s">
        <v>56</v>
      </c>
      <c r="D394" t="s">
        <v>19</v>
      </c>
      <c r="E394" t="s">
        <v>20</v>
      </c>
      <c r="F394" t="s">
        <v>19</v>
      </c>
      <c r="G394" s="7">
        <v>7</v>
      </c>
      <c r="H394" s="1">
        <v>31031.97</v>
      </c>
      <c r="I394" t="s">
        <v>15</v>
      </c>
      <c r="J394" s="1">
        <v>217223.79</v>
      </c>
    </row>
    <row r="395" spans="1:10" x14ac:dyDescent="0.35">
      <c r="A395" s="5" t="s">
        <v>218</v>
      </c>
      <c r="B395" t="s">
        <v>583</v>
      </c>
      <c r="C395" t="s">
        <v>12</v>
      </c>
      <c r="D395" t="s">
        <v>13</v>
      </c>
      <c r="E395" t="s">
        <v>14</v>
      </c>
      <c r="F395" t="s">
        <v>13</v>
      </c>
      <c r="G395" s="7">
        <v>10</v>
      </c>
      <c r="H395" s="1">
        <v>58172.59</v>
      </c>
      <c r="I395" t="s">
        <v>41</v>
      </c>
      <c r="J395" s="1">
        <v>581725.9</v>
      </c>
    </row>
    <row r="396" spans="1:10" x14ac:dyDescent="0.35">
      <c r="A396" s="5" t="s">
        <v>290</v>
      </c>
      <c r="B396" t="s">
        <v>584</v>
      </c>
      <c r="C396" t="s">
        <v>18</v>
      </c>
      <c r="D396" t="s">
        <v>59</v>
      </c>
      <c r="E396" t="s">
        <v>60</v>
      </c>
      <c r="F396" t="s">
        <v>59</v>
      </c>
      <c r="G396" s="7">
        <v>4</v>
      </c>
      <c r="H396" s="1">
        <v>1548.59</v>
      </c>
      <c r="I396" t="s">
        <v>30</v>
      </c>
      <c r="J396" s="1">
        <v>6194.36</v>
      </c>
    </row>
    <row r="397" spans="1:10" x14ac:dyDescent="0.35">
      <c r="A397" s="5" t="s">
        <v>168</v>
      </c>
      <c r="B397" t="s">
        <v>585</v>
      </c>
      <c r="C397" t="s">
        <v>71</v>
      </c>
      <c r="D397" t="s">
        <v>13</v>
      </c>
      <c r="E397" t="s">
        <v>14</v>
      </c>
      <c r="F397" t="s">
        <v>13</v>
      </c>
      <c r="G397" s="7">
        <v>4</v>
      </c>
      <c r="H397" s="1">
        <v>49982.51</v>
      </c>
      <c r="I397" t="s">
        <v>15</v>
      </c>
      <c r="J397" s="1">
        <v>199930.04</v>
      </c>
    </row>
    <row r="398" spans="1:10" x14ac:dyDescent="0.35">
      <c r="A398" s="5" t="s">
        <v>52</v>
      </c>
      <c r="B398" t="s">
        <v>586</v>
      </c>
      <c r="C398" t="s">
        <v>71</v>
      </c>
      <c r="D398" t="s">
        <v>13</v>
      </c>
      <c r="E398" t="s">
        <v>14</v>
      </c>
      <c r="F398" t="s">
        <v>13</v>
      </c>
      <c r="G398" s="7">
        <v>4</v>
      </c>
      <c r="H398" s="1">
        <v>56768.7</v>
      </c>
      <c r="I398" t="s">
        <v>41</v>
      </c>
      <c r="J398" s="1">
        <v>227074.8</v>
      </c>
    </row>
    <row r="399" spans="1:10" x14ac:dyDescent="0.35">
      <c r="A399" s="5" t="s">
        <v>265</v>
      </c>
      <c r="B399" t="s">
        <v>587</v>
      </c>
      <c r="C399" t="s">
        <v>71</v>
      </c>
      <c r="D399" t="s">
        <v>13</v>
      </c>
      <c r="E399" t="s">
        <v>29</v>
      </c>
      <c r="F399" t="s">
        <v>13</v>
      </c>
      <c r="G399" s="7">
        <v>6</v>
      </c>
      <c r="H399" s="1">
        <v>22724.04</v>
      </c>
      <c r="I399" t="s">
        <v>30</v>
      </c>
      <c r="J399" s="1">
        <v>136344.24</v>
      </c>
    </row>
    <row r="400" spans="1:10" x14ac:dyDescent="0.35">
      <c r="A400" s="5" t="s">
        <v>120</v>
      </c>
      <c r="B400" t="s">
        <v>588</v>
      </c>
      <c r="C400" t="s">
        <v>71</v>
      </c>
      <c r="D400" t="s">
        <v>13</v>
      </c>
      <c r="E400" t="s">
        <v>14</v>
      </c>
      <c r="F400" t="s">
        <v>13</v>
      </c>
      <c r="G400" s="7">
        <v>9</v>
      </c>
      <c r="H400" s="1">
        <v>51449.56</v>
      </c>
      <c r="I400" t="s">
        <v>21</v>
      </c>
      <c r="J400" s="1">
        <v>463046.04</v>
      </c>
    </row>
    <row r="401" spans="1:10" x14ac:dyDescent="0.35">
      <c r="A401" s="5" t="s">
        <v>351</v>
      </c>
      <c r="B401" t="s">
        <v>589</v>
      </c>
      <c r="C401" t="s">
        <v>56</v>
      </c>
      <c r="D401" t="s">
        <v>19</v>
      </c>
      <c r="E401" t="s">
        <v>36</v>
      </c>
      <c r="F401" t="s">
        <v>19</v>
      </c>
      <c r="G401" s="7">
        <v>7</v>
      </c>
      <c r="H401" s="1">
        <v>12906.63</v>
      </c>
      <c r="I401" t="s">
        <v>41</v>
      </c>
      <c r="J401" s="1">
        <v>90346.41</v>
      </c>
    </row>
    <row r="402" spans="1:10" x14ac:dyDescent="0.35">
      <c r="A402" s="5" t="s">
        <v>265</v>
      </c>
      <c r="B402" t="s">
        <v>590</v>
      </c>
      <c r="C402" t="s">
        <v>56</v>
      </c>
      <c r="D402" t="s">
        <v>59</v>
      </c>
      <c r="E402" t="s">
        <v>60</v>
      </c>
      <c r="F402" t="s">
        <v>59</v>
      </c>
      <c r="G402" s="7">
        <v>10</v>
      </c>
      <c r="H402" s="1">
        <v>1431.79</v>
      </c>
      <c r="I402" t="s">
        <v>41</v>
      </c>
      <c r="J402" s="1">
        <v>14317.9</v>
      </c>
    </row>
    <row r="403" spans="1:10" x14ac:dyDescent="0.35">
      <c r="A403" s="5" t="s">
        <v>98</v>
      </c>
      <c r="B403" t="s">
        <v>591</v>
      </c>
      <c r="C403" t="s">
        <v>35</v>
      </c>
      <c r="D403" t="s">
        <v>24</v>
      </c>
      <c r="E403" t="s">
        <v>25</v>
      </c>
      <c r="F403" t="s">
        <v>24</v>
      </c>
      <c r="G403" s="7">
        <v>5</v>
      </c>
      <c r="H403" s="1">
        <v>875.66</v>
      </c>
      <c r="I403" t="s">
        <v>21</v>
      </c>
      <c r="J403" s="1">
        <v>4378.3</v>
      </c>
    </row>
    <row r="404" spans="1:10" x14ac:dyDescent="0.35">
      <c r="A404" s="5" t="s">
        <v>236</v>
      </c>
      <c r="B404" t="s">
        <v>592</v>
      </c>
      <c r="C404" t="s">
        <v>35</v>
      </c>
      <c r="D404" t="s">
        <v>59</v>
      </c>
      <c r="E404" t="s">
        <v>60</v>
      </c>
      <c r="F404" t="s">
        <v>59</v>
      </c>
      <c r="G404" s="7">
        <v>4</v>
      </c>
      <c r="H404" s="1">
        <v>1526.84</v>
      </c>
      <c r="I404" t="s">
        <v>41</v>
      </c>
      <c r="J404" s="1">
        <v>6107.36</v>
      </c>
    </row>
    <row r="405" spans="1:10" x14ac:dyDescent="0.35">
      <c r="A405" s="5" t="s">
        <v>44</v>
      </c>
      <c r="B405" t="s">
        <v>593</v>
      </c>
      <c r="C405" t="s">
        <v>28</v>
      </c>
      <c r="D405" t="s">
        <v>19</v>
      </c>
      <c r="E405" t="s">
        <v>36</v>
      </c>
      <c r="F405" t="s">
        <v>19</v>
      </c>
      <c r="G405" s="7">
        <v>3</v>
      </c>
      <c r="H405" s="1">
        <v>11691.77</v>
      </c>
      <c r="I405" t="s">
        <v>41</v>
      </c>
      <c r="J405" s="1">
        <v>35075.31</v>
      </c>
    </row>
    <row r="406" spans="1:10" x14ac:dyDescent="0.35">
      <c r="A406" s="5" t="s">
        <v>290</v>
      </c>
      <c r="B406" t="s">
        <v>594</v>
      </c>
      <c r="C406" t="s">
        <v>56</v>
      </c>
      <c r="D406" t="s">
        <v>59</v>
      </c>
      <c r="E406" t="s">
        <v>60</v>
      </c>
      <c r="F406" t="s">
        <v>59</v>
      </c>
      <c r="G406" s="7">
        <v>10</v>
      </c>
      <c r="H406" s="1">
        <v>1568.84</v>
      </c>
      <c r="I406" t="s">
        <v>21</v>
      </c>
      <c r="J406" s="1">
        <v>15688.4</v>
      </c>
    </row>
    <row r="407" spans="1:10" x14ac:dyDescent="0.35">
      <c r="A407" s="5" t="s">
        <v>595</v>
      </c>
      <c r="B407" t="s">
        <v>596</v>
      </c>
      <c r="C407" t="s">
        <v>71</v>
      </c>
      <c r="D407" t="s">
        <v>19</v>
      </c>
      <c r="E407" t="s">
        <v>36</v>
      </c>
      <c r="F407" t="s">
        <v>19</v>
      </c>
      <c r="G407" s="7">
        <v>5</v>
      </c>
      <c r="H407" s="1">
        <v>12088.8</v>
      </c>
      <c r="I407" t="s">
        <v>30</v>
      </c>
      <c r="J407" s="1">
        <v>60444</v>
      </c>
    </row>
    <row r="408" spans="1:10" x14ac:dyDescent="0.35">
      <c r="A408" s="5" t="s">
        <v>181</v>
      </c>
      <c r="B408" t="s">
        <v>597</v>
      </c>
      <c r="C408" t="s">
        <v>12</v>
      </c>
      <c r="D408" t="s">
        <v>19</v>
      </c>
      <c r="E408" t="s">
        <v>20</v>
      </c>
      <c r="F408" t="s">
        <v>19</v>
      </c>
      <c r="G408" s="7">
        <v>5</v>
      </c>
      <c r="H408" s="1">
        <v>29869.68</v>
      </c>
      <c r="I408" t="s">
        <v>15</v>
      </c>
      <c r="J408" s="1">
        <v>149348.4</v>
      </c>
    </row>
    <row r="409" spans="1:10" x14ac:dyDescent="0.35">
      <c r="A409" s="5" t="s">
        <v>48</v>
      </c>
      <c r="B409" t="s">
        <v>598</v>
      </c>
      <c r="C409" t="s">
        <v>56</v>
      </c>
      <c r="D409" t="s">
        <v>59</v>
      </c>
      <c r="E409" t="s">
        <v>60</v>
      </c>
      <c r="F409" t="s">
        <v>59</v>
      </c>
      <c r="G409" s="7">
        <v>8</v>
      </c>
      <c r="H409" s="1">
        <v>1577.84</v>
      </c>
      <c r="I409" t="s">
        <v>30</v>
      </c>
      <c r="J409" s="1">
        <v>12622.72</v>
      </c>
    </row>
    <row r="410" spans="1:10" x14ac:dyDescent="0.35">
      <c r="A410" s="5" t="s">
        <v>254</v>
      </c>
      <c r="B410" t="s">
        <v>599</v>
      </c>
      <c r="C410" t="s">
        <v>71</v>
      </c>
      <c r="D410" t="s">
        <v>19</v>
      </c>
      <c r="E410" t="s">
        <v>20</v>
      </c>
      <c r="F410" t="s">
        <v>19</v>
      </c>
      <c r="G410" s="7">
        <v>7</v>
      </c>
      <c r="H410" s="1">
        <v>29886.75</v>
      </c>
      <c r="I410" t="s">
        <v>15</v>
      </c>
      <c r="J410" s="1">
        <v>209207.25</v>
      </c>
    </row>
    <row r="411" spans="1:10" x14ac:dyDescent="0.35">
      <c r="A411" s="5" t="s">
        <v>250</v>
      </c>
      <c r="B411" t="s">
        <v>600</v>
      </c>
      <c r="C411" t="s">
        <v>12</v>
      </c>
      <c r="D411" t="s">
        <v>13</v>
      </c>
      <c r="E411" t="s">
        <v>14</v>
      </c>
      <c r="F411" t="s">
        <v>13</v>
      </c>
      <c r="G411" s="7">
        <v>7</v>
      </c>
      <c r="H411" s="1">
        <v>58871.41</v>
      </c>
      <c r="I411" t="s">
        <v>21</v>
      </c>
      <c r="J411" s="1">
        <v>412099.87</v>
      </c>
    </row>
    <row r="412" spans="1:10" x14ac:dyDescent="0.35">
      <c r="A412" s="5" t="s">
        <v>387</v>
      </c>
      <c r="B412" t="s">
        <v>601</v>
      </c>
      <c r="C412" t="s">
        <v>18</v>
      </c>
      <c r="D412" t="s">
        <v>13</v>
      </c>
      <c r="E412" t="s">
        <v>14</v>
      </c>
      <c r="F412" t="s">
        <v>13</v>
      </c>
      <c r="G412" s="7">
        <v>8</v>
      </c>
      <c r="H412" s="1">
        <v>50525.67</v>
      </c>
      <c r="I412" t="s">
        <v>21</v>
      </c>
      <c r="J412" s="1">
        <v>404205.36</v>
      </c>
    </row>
    <row r="413" spans="1:10" x14ac:dyDescent="0.35">
      <c r="A413" s="5" t="s">
        <v>52</v>
      </c>
      <c r="B413" t="s">
        <v>602</v>
      </c>
      <c r="C413" t="s">
        <v>12</v>
      </c>
      <c r="D413" t="s">
        <v>19</v>
      </c>
      <c r="E413" t="s">
        <v>20</v>
      </c>
      <c r="F413" t="s">
        <v>19</v>
      </c>
      <c r="G413" s="7">
        <v>10</v>
      </c>
      <c r="H413" s="1">
        <v>27368.99</v>
      </c>
      <c r="I413" t="s">
        <v>15</v>
      </c>
      <c r="J413" s="1">
        <v>273689.90000000002</v>
      </c>
    </row>
    <row r="414" spans="1:10" x14ac:dyDescent="0.35">
      <c r="A414" s="5" t="s">
        <v>181</v>
      </c>
      <c r="B414" t="s">
        <v>603</v>
      </c>
      <c r="C414" t="s">
        <v>35</v>
      </c>
      <c r="D414" t="s">
        <v>24</v>
      </c>
      <c r="E414" t="s">
        <v>25</v>
      </c>
      <c r="F414" t="s">
        <v>24</v>
      </c>
      <c r="G414" s="7">
        <v>5</v>
      </c>
      <c r="H414" s="1">
        <v>875.04</v>
      </c>
      <c r="I414" t="s">
        <v>15</v>
      </c>
      <c r="J414" s="1">
        <v>4375.2</v>
      </c>
    </row>
    <row r="415" spans="1:10" x14ac:dyDescent="0.35">
      <c r="A415" s="5" t="s">
        <v>604</v>
      </c>
      <c r="B415" t="s">
        <v>605</v>
      </c>
      <c r="C415" t="s">
        <v>56</v>
      </c>
      <c r="D415" t="s">
        <v>19</v>
      </c>
      <c r="E415" t="s">
        <v>36</v>
      </c>
      <c r="F415" t="s">
        <v>19</v>
      </c>
      <c r="G415" s="7">
        <v>4</v>
      </c>
      <c r="H415" s="1">
        <v>11339.12</v>
      </c>
      <c r="I415" t="s">
        <v>41</v>
      </c>
      <c r="J415" s="1">
        <v>45356.480000000003</v>
      </c>
    </row>
    <row r="416" spans="1:10" x14ac:dyDescent="0.35">
      <c r="A416" s="5" t="s">
        <v>95</v>
      </c>
      <c r="B416" t="s">
        <v>606</v>
      </c>
      <c r="C416" t="s">
        <v>35</v>
      </c>
      <c r="D416" t="s">
        <v>59</v>
      </c>
      <c r="E416" t="s">
        <v>60</v>
      </c>
      <c r="F416" t="s">
        <v>59</v>
      </c>
      <c r="G416" s="7">
        <v>9</v>
      </c>
      <c r="H416" s="1">
        <v>1446.85</v>
      </c>
      <c r="I416" t="s">
        <v>41</v>
      </c>
      <c r="J416" s="1">
        <v>13021.65</v>
      </c>
    </row>
    <row r="417" spans="1:10" x14ac:dyDescent="0.35">
      <c r="A417" s="5" t="s">
        <v>280</v>
      </c>
      <c r="B417" t="s">
        <v>607</v>
      </c>
      <c r="C417" t="s">
        <v>35</v>
      </c>
      <c r="D417" t="s">
        <v>19</v>
      </c>
      <c r="E417" t="s">
        <v>20</v>
      </c>
      <c r="F417" t="s">
        <v>19</v>
      </c>
      <c r="G417" s="7">
        <v>8</v>
      </c>
      <c r="H417" s="1">
        <v>29025.37</v>
      </c>
      <c r="I417" t="s">
        <v>15</v>
      </c>
      <c r="J417" s="1">
        <v>232202.96</v>
      </c>
    </row>
    <row r="418" spans="1:10" x14ac:dyDescent="0.35">
      <c r="A418" s="5" t="s">
        <v>164</v>
      </c>
      <c r="B418" t="s">
        <v>608</v>
      </c>
      <c r="C418" t="s">
        <v>28</v>
      </c>
      <c r="D418" t="s">
        <v>59</v>
      </c>
      <c r="E418" t="s">
        <v>60</v>
      </c>
      <c r="F418" t="s">
        <v>59</v>
      </c>
      <c r="G418" s="7">
        <v>7</v>
      </c>
      <c r="H418" s="1">
        <v>1381.23</v>
      </c>
      <c r="I418" t="s">
        <v>41</v>
      </c>
      <c r="J418" s="1">
        <v>9668.61</v>
      </c>
    </row>
    <row r="419" spans="1:10" x14ac:dyDescent="0.35">
      <c r="A419" s="5" t="s">
        <v>236</v>
      </c>
      <c r="B419" t="s">
        <v>609</v>
      </c>
      <c r="C419" t="s">
        <v>71</v>
      </c>
      <c r="D419" t="s">
        <v>13</v>
      </c>
      <c r="E419" t="s">
        <v>29</v>
      </c>
      <c r="F419" t="s">
        <v>13</v>
      </c>
      <c r="G419" s="7">
        <v>8</v>
      </c>
      <c r="H419" s="1">
        <v>22891.14</v>
      </c>
      <c r="I419" t="s">
        <v>15</v>
      </c>
      <c r="J419" s="1">
        <v>183129.12</v>
      </c>
    </row>
    <row r="420" spans="1:10" x14ac:dyDescent="0.35">
      <c r="A420" s="5" t="s">
        <v>65</v>
      </c>
      <c r="B420" t="s">
        <v>610</v>
      </c>
      <c r="C420" t="s">
        <v>71</v>
      </c>
      <c r="D420" t="s">
        <v>59</v>
      </c>
      <c r="E420" t="s">
        <v>60</v>
      </c>
      <c r="F420" t="s">
        <v>59</v>
      </c>
      <c r="G420" s="7">
        <v>10</v>
      </c>
      <c r="H420" s="1">
        <v>1505.41</v>
      </c>
      <c r="I420" t="s">
        <v>15</v>
      </c>
      <c r="J420" s="1">
        <v>15054.1</v>
      </c>
    </row>
    <row r="421" spans="1:10" x14ac:dyDescent="0.35">
      <c r="A421" s="5" t="s">
        <v>282</v>
      </c>
      <c r="B421" t="s">
        <v>611</v>
      </c>
      <c r="C421" t="s">
        <v>56</v>
      </c>
      <c r="D421" t="s">
        <v>19</v>
      </c>
      <c r="E421" t="s">
        <v>36</v>
      </c>
      <c r="F421" t="s">
        <v>19</v>
      </c>
      <c r="G421" s="7">
        <v>9</v>
      </c>
      <c r="H421" s="1">
        <v>12917.72</v>
      </c>
      <c r="I421" t="s">
        <v>30</v>
      </c>
      <c r="J421" s="1">
        <v>116259.48</v>
      </c>
    </row>
    <row r="422" spans="1:10" x14ac:dyDescent="0.35">
      <c r="A422" s="5" t="s">
        <v>612</v>
      </c>
      <c r="B422" t="s">
        <v>613</v>
      </c>
      <c r="C422" t="s">
        <v>71</v>
      </c>
      <c r="D422" t="s">
        <v>19</v>
      </c>
      <c r="E422" t="s">
        <v>36</v>
      </c>
      <c r="F422" t="s">
        <v>19</v>
      </c>
      <c r="G422" s="7">
        <v>9</v>
      </c>
      <c r="H422" s="1">
        <v>12267.53</v>
      </c>
      <c r="I422" t="s">
        <v>15</v>
      </c>
      <c r="J422" s="1">
        <v>110407.77</v>
      </c>
    </row>
    <row r="423" spans="1:10" x14ac:dyDescent="0.35">
      <c r="A423" s="5" t="s">
        <v>85</v>
      </c>
      <c r="B423" t="s">
        <v>614</v>
      </c>
      <c r="C423" t="s">
        <v>71</v>
      </c>
      <c r="D423" t="s">
        <v>13</v>
      </c>
      <c r="E423" t="s">
        <v>29</v>
      </c>
      <c r="F423" t="s">
        <v>13</v>
      </c>
      <c r="G423" s="7">
        <v>8</v>
      </c>
      <c r="H423" s="1">
        <v>22823.919999999998</v>
      </c>
      <c r="I423" t="s">
        <v>41</v>
      </c>
      <c r="J423" s="1">
        <v>182591.35999999999</v>
      </c>
    </row>
    <row r="424" spans="1:10" x14ac:dyDescent="0.35">
      <c r="A424" s="5" t="s">
        <v>170</v>
      </c>
      <c r="B424" t="s">
        <v>615</v>
      </c>
      <c r="C424" t="s">
        <v>28</v>
      </c>
      <c r="D424" t="s">
        <v>13</v>
      </c>
      <c r="E424" t="s">
        <v>29</v>
      </c>
      <c r="F424" t="s">
        <v>13</v>
      </c>
      <c r="G424" s="7">
        <v>3</v>
      </c>
      <c r="H424" s="1">
        <v>26233.64</v>
      </c>
      <c r="I424" t="s">
        <v>21</v>
      </c>
      <c r="J424" s="1">
        <v>78700.92</v>
      </c>
    </row>
    <row r="425" spans="1:10" x14ac:dyDescent="0.35">
      <c r="A425" s="5" t="s">
        <v>254</v>
      </c>
      <c r="B425" t="s">
        <v>616</v>
      </c>
      <c r="C425" t="s">
        <v>35</v>
      </c>
      <c r="D425" t="s">
        <v>13</v>
      </c>
      <c r="E425" t="s">
        <v>14</v>
      </c>
      <c r="F425" t="s">
        <v>13</v>
      </c>
      <c r="G425" s="7">
        <v>7</v>
      </c>
      <c r="H425" s="1">
        <v>56642.47</v>
      </c>
      <c r="I425" t="s">
        <v>21</v>
      </c>
      <c r="J425" s="1">
        <v>396497.29</v>
      </c>
    </row>
    <row r="426" spans="1:10" x14ac:dyDescent="0.35">
      <c r="A426" s="5" t="s">
        <v>190</v>
      </c>
      <c r="B426" t="s">
        <v>617</v>
      </c>
      <c r="C426" t="s">
        <v>35</v>
      </c>
      <c r="D426" t="s">
        <v>13</v>
      </c>
      <c r="E426" t="s">
        <v>29</v>
      </c>
      <c r="F426" t="s">
        <v>13</v>
      </c>
      <c r="G426" s="7">
        <v>3</v>
      </c>
      <c r="H426" s="1">
        <v>27464.49</v>
      </c>
      <c r="I426" t="s">
        <v>15</v>
      </c>
      <c r="J426" s="1">
        <v>82393.47</v>
      </c>
    </row>
    <row r="427" spans="1:10" x14ac:dyDescent="0.35">
      <c r="A427" s="5" t="s">
        <v>538</v>
      </c>
      <c r="B427" t="s">
        <v>618</v>
      </c>
      <c r="C427" t="s">
        <v>18</v>
      </c>
      <c r="D427" t="s">
        <v>24</v>
      </c>
      <c r="E427" t="s">
        <v>25</v>
      </c>
      <c r="F427" t="s">
        <v>24</v>
      </c>
      <c r="G427" s="7">
        <v>1</v>
      </c>
      <c r="H427" s="1">
        <v>879.72</v>
      </c>
      <c r="I427" t="s">
        <v>21</v>
      </c>
      <c r="J427" s="1">
        <v>879.72</v>
      </c>
    </row>
    <row r="428" spans="1:10" x14ac:dyDescent="0.35">
      <c r="A428" s="5" t="s">
        <v>448</v>
      </c>
      <c r="B428" t="s">
        <v>619</v>
      </c>
      <c r="C428" t="s">
        <v>56</v>
      </c>
      <c r="D428" t="s">
        <v>59</v>
      </c>
      <c r="E428" t="s">
        <v>60</v>
      </c>
      <c r="F428" t="s">
        <v>59</v>
      </c>
      <c r="G428" s="7">
        <v>7</v>
      </c>
      <c r="H428" s="1">
        <v>1514.05</v>
      </c>
      <c r="I428" t="s">
        <v>15</v>
      </c>
      <c r="J428" s="1">
        <v>10598.35</v>
      </c>
    </row>
    <row r="429" spans="1:10" x14ac:dyDescent="0.35">
      <c r="A429" s="5" t="s">
        <v>108</v>
      </c>
      <c r="B429" t="s">
        <v>620</v>
      </c>
      <c r="C429" t="s">
        <v>28</v>
      </c>
      <c r="D429" t="s">
        <v>13</v>
      </c>
      <c r="E429" t="s">
        <v>14</v>
      </c>
      <c r="F429" t="s">
        <v>13</v>
      </c>
      <c r="G429" s="7">
        <v>10</v>
      </c>
      <c r="H429" s="1">
        <v>49669.96</v>
      </c>
      <c r="I429" t="s">
        <v>30</v>
      </c>
      <c r="J429" s="1">
        <v>496699.6</v>
      </c>
    </row>
    <row r="430" spans="1:10" x14ac:dyDescent="0.35">
      <c r="A430" s="5" t="s">
        <v>212</v>
      </c>
      <c r="B430" t="s">
        <v>621</v>
      </c>
      <c r="C430" t="s">
        <v>56</v>
      </c>
      <c r="D430" t="s">
        <v>19</v>
      </c>
      <c r="E430" t="s">
        <v>36</v>
      </c>
      <c r="F430" t="s">
        <v>19</v>
      </c>
      <c r="G430" s="7">
        <v>10</v>
      </c>
      <c r="H430" s="1">
        <v>13117.27</v>
      </c>
      <c r="I430" t="s">
        <v>15</v>
      </c>
      <c r="J430" s="1">
        <v>131172.70000000001</v>
      </c>
    </row>
    <row r="431" spans="1:10" x14ac:dyDescent="0.35">
      <c r="A431" s="5" t="s">
        <v>367</v>
      </c>
      <c r="B431" t="s">
        <v>622</v>
      </c>
      <c r="C431" t="s">
        <v>71</v>
      </c>
      <c r="D431" t="s">
        <v>19</v>
      </c>
      <c r="E431" t="s">
        <v>20</v>
      </c>
      <c r="F431" t="s">
        <v>19</v>
      </c>
      <c r="G431" s="7">
        <v>9</v>
      </c>
      <c r="H431" s="1">
        <v>31658.93</v>
      </c>
      <c r="I431" t="s">
        <v>30</v>
      </c>
      <c r="J431" s="1">
        <v>284930.37</v>
      </c>
    </row>
    <row r="432" spans="1:10" x14ac:dyDescent="0.35">
      <c r="A432" s="5" t="s">
        <v>623</v>
      </c>
      <c r="B432" t="s">
        <v>624</v>
      </c>
      <c r="C432" t="s">
        <v>12</v>
      </c>
      <c r="D432" t="s">
        <v>13</v>
      </c>
      <c r="E432" t="s">
        <v>14</v>
      </c>
      <c r="F432" t="s">
        <v>13</v>
      </c>
      <c r="G432" s="7">
        <v>5</v>
      </c>
      <c r="H432" s="1">
        <v>58608.28</v>
      </c>
      <c r="I432" t="s">
        <v>21</v>
      </c>
      <c r="J432" s="1">
        <v>293041.40000000002</v>
      </c>
    </row>
    <row r="433" spans="1:10" x14ac:dyDescent="0.35">
      <c r="A433" s="5" t="s">
        <v>625</v>
      </c>
      <c r="B433" t="s">
        <v>626</v>
      </c>
      <c r="C433" t="s">
        <v>56</v>
      </c>
      <c r="D433" t="s">
        <v>59</v>
      </c>
      <c r="E433" t="s">
        <v>60</v>
      </c>
      <c r="F433" t="s">
        <v>59</v>
      </c>
      <c r="G433" s="7">
        <v>8</v>
      </c>
      <c r="H433" s="1">
        <v>1621.88</v>
      </c>
      <c r="I433" t="s">
        <v>21</v>
      </c>
      <c r="J433" s="1">
        <v>12975.04</v>
      </c>
    </row>
    <row r="434" spans="1:10" x14ac:dyDescent="0.35">
      <c r="A434" s="5" t="s">
        <v>370</v>
      </c>
      <c r="B434" t="s">
        <v>627</v>
      </c>
      <c r="C434" t="s">
        <v>56</v>
      </c>
      <c r="D434" t="s">
        <v>19</v>
      </c>
      <c r="E434" t="s">
        <v>20</v>
      </c>
      <c r="F434" t="s">
        <v>19</v>
      </c>
      <c r="G434" s="7">
        <v>10</v>
      </c>
      <c r="H434" s="1">
        <v>27385</v>
      </c>
      <c r="I434" t="s">
        <v>15</v>
      </c>
      <c r="J434" s="1">
        <v>273850</v>
      </c>
    </row>
    <row r="435" spans="1:10" x14ac:dyDescent="0.35">
      <c r="A435" s="5" t="s">
        <v>628</v>
      </c>
      <c r="B435" t="s">
        <v>629</v>
      </c>
      <c r="C435" t="s">
        <v>56</v>
      </c>
      <c r="D435" t="s">
        <v>13</v>
      </c>
      <c r="E435" t="s">
        <v>14</v>
      </c>
      <c r="F435" t="s">
        <v>13</v>
      </c>
      <c r="G435" s="7">
        <v>1</v>
      </c>
      <c r="H435" s="1">
        <v>50983.14</v>
      </c>
      <c r="I435" t="s">
        <v>41</v>
      </c>
      <c r="J435" s="1">
        <v>50983.14</v>
      </c>
    </row>
    <row r="436" spans="1:10" x14ac:dyDescent="0.35">
      <c r="A436" s="5" t="s">
        <v>595</v>
      </c>
      <c r="B436" t="s">
        <v>630</v>
      </c>
      <c r="C436" t="s">
        <v>18</v>
      </c>
      <c r="D436" t="s">
        <v>24</v>
      </c>
      <c r="E436" t="s">
        <v>25</v>
      </c>
      <c r="F436" t="s">
        <v>24</v>
      </c>
      <c r="G436" s="7">
        <v>8</v>
      </c>
      <c r="H436" s="1">
        <v>830.44</v>
      </c>
      <c r="I436" t="s">
        <v>21</v>
      </c>
      <c r="J436" s="1">
        <v>6643.52</v>
      </c>
    </row>
    <row r="437" spans="1:10" x14ac:dyDescent="0.35">
      <c r="A437" s="5" t="s">
        <v>120</v>
      </c>
      <c r="B437" t="s">
        <v>631</v>
      </c>
      <c r="C437" t="s">
        <v>35</v>
      </c>
      <c r="D437" t="s">
        <v>19</v>
      </c>
      <c r="E437" t="s">
        <v>36</v>
      </c>
      <c r="F437" t="s">
        <v>19</v>
      </c>
      <c r="G437" s="7">
        <v>8</v>
      </c>
      <c r="H437" s="1">
        <v>11318.8</v>
      </c>
      <c r="I437" t="s">
        <v>41</v>
      </c>
      <c r="J437" s="1">
        <v>90550.399999999994</v>
      </c>
    </row>
    <row r="438" spans="1:10" x14ac:dyDescent="0.35">
      <c r="A438" s="5" t="s">
        <v>390</v>
      </c>
      <c r="B438" t="s">
        <v>632</v>
      </c>
      <c r="C438" t="s">
        <v>56</v>
      </c>
      <c r="D438" t="s">
        <v>24</v>
      </c>
      <c r="E438" t="s">
        <v>25</v>
      </c>
      <c r="F438" t="s">
        <v>24</v>
      </c>
      <c r="G438" s="7">
        <v>4</v>
      </c>
      <c r="H438" s="1">
        <v>791.5</v>
      </c>
      <c r="I438" t="s">
        <v>15</v>
      </c>
      <c r="J438" s="1">
        <v>3166</v>
      </c>
    </row>
    <row r="439" spans="1:10" x14ac:dyDescent="0.35">
      <c r="A439" s="5" t="s">
        <v>633</v>
      </c>
      <c r="B439" t="s">
        <v>634</v>
      </c>
      <c r="C439" t="s">
        <v>71</v>
      </c>
      <c r="D439" t="s">
        <v>24</v>
      </c>
      <c r="E439" t="s">
        <v>25</v>
      </c>
      <c r="F439" t="s">
        <v>24</v>
      </c>
      <c r="G439" s="7">
        <v>3</v>
      </c>
      <c r="H439" s="1">
        <v>824.03</v>
      </c>
      <c r="I439" t="s">
        <v>21</v>
      </c>
      <c r="J439" s="1">
        <v>2472.09</v>
      </c>
    </row>
    <row r="440" spans="1:10" x14ac:dyDescent="0.35">
      <c r="A440" s="5" t="s">
        <v>188</v>
      </c>
      <c r="B440" t="s">
        <v>635</v>
      </c>
      <c r="C440" t="s">
        <v>12</v>
      </c>
      <c r="D440" t="s">
        <v>13</v>
      </c>
      <c r="E440" t="s">
        <v>29</v>
      </c>
      <c r="F440" t="s">
        <v>13</v>
      </c>
      <c r="G440" s="7">
        <v>8</v>
      </c>
      <c r="H440" s="1">
        <v>23860.65</v>
      </c>
      <c r="I440" t="s">
        <v>41</v>
      </c>
      <c r="J440" s="1">
        <v>190885.2</v>
      </c>
    </row>
    <row r="441" spans="1:10" x14ac:dyDescent="0.35">
      <c r="A441" s="5" t="s">
        <v>330</v>
      </c>
      <c r="B441" t="s">
        <v>636</v>
      </c>
      <c r="C441" t="s">
        <v>28</v>
      </c>
      <c r="D441" t="s">
        <v>24</v>
      </c>
      <c r="E441" t="s">
        <v>25</v>
      </c>
      <c r="F441" t="s">
        <v>24</v>
      </c>
      <c r="G441" s="7">
        <v>6</v>
      </c>
      <c r="H441" s="1">
        <v>856.36</v>
      </c>
      <c r="I441" t="s">
        <v>41</v>
      </c>
      <c r="J441" s="1">
        <v>5138.16</v>
      </c>
    </row>
    <row r="442" spans="1:10" x14ac:dyDescent="0.35">
      <c r="A442" s="5" t="s">
        <v>162</v>
      </c>
      <c r="B442" t="s">
        <v>637</v>
      </c>
      <c r="C442" t="s">
        <v>35</v>
      </c>
      <c r="D442" t="s">
        <v>19</v>
      </c>
      <c r="E442" t="s">
        <v>36</v>
      </c>
      <c r="F442" t="s">
        <v>19</v>
      </c>
      <c r="G442" s="7">
        <v>10</v>
      </c>
      <c r="H442" s="1">
        <v>12155.14</v>
      </c>
      <c r="I442" t="s">
        <v>30</v>
      </c>
      <c r="J442" s="1">
        <v>121551.4</v>
      </c>
    </row>
    <row r="443" spans="1:10" x14ac:dyDescent="0.35">
      <c r="A443" s="5" t="s">
        <v>338</v>
      </c>
      <c r="B443" t="s">
        <v>638</v>
      </c>
      <c r="C443" t="s">
        <v>35</v>
      </c>
      <c r="D443" t="s">
        <v>13</v>
      </c>
      <c r="E443" t="s">
        <v>14</v>
      </c>
      <c r="F443" t="s">
        <v>13</v>
      </c>
      <c r="G443" s="7">
        <v>6</v>
      </c>
      <c r="H443" s="1">
        <v>54170.57</v>
      </c>
      <c r="I443" t="s">
        <v>15</v>
      </c>
      <c r="J443" s="1">
        <v>325023.42</v>
      </c>
    </row>
    <row r="444" spans="1:10" x14ac:dyDescent="0.35">
      <c r="A444" s="5" t="s">
        <v>323</v>
      </c>
      <c r="B444" t="s">
        <v>639</v>
      </c>
      <c r="C444" t="s">
        <v>18</v>
      </c>
      <c r="D444" t="s">
        <v>59</v>
      </c>
      <c r="E444" t="s">
        <v>60</v>
      </c>
      <c r="F444" t="s">
        <v>59</v>
      </c>
      <c r="G444" s="7">
        <v>4</v>
      </c>
      <c r="H444" s="1">
        <v>1506.28</v>
      </c>
      <c r="I444" t="s">
        <v>15</v>
      </c>
      <c r="J444" s="1">
        <v>6025.12</v>
      </c>
    </row>
    <row r="445" spans="1:10" x14ac:dyDescent="0.35">
      <c r="A445" s="5" t="s">
        <v>640</v>
      </c>
      <c r="B445" t="s">
        <v>641</v>
      </c>
      <c r="C445" t="s">
        <v>71</v>
      </c>
      <c r="D445" t="s">
        <v>19</v>
      </c>
      <c r="E445" t="s">
        <v>36</v>
      </c>
      <c r="F445" t="s">
        <v>19</v>
      </c>
      <c r="G445" s="7">
        <v>8</v>
      </c>
      <c r="H445" s="1">
        <v>10872.74</v>
      </c>
      <c r="I445" t="s">
        <v>41</v>
      </c>
      <c r="J445" s="1">
        <v>86981.92</v>
      </c>
    </row>
    <row r="446" spans="1:10" x14ac:dyDescent="0.35">
      <c r="A446" s="5" t="s">
        <v>240</v>
      </c>
      <c r="B446" t="s">
        <v>642</v>
      </c>
      <c r="C446" t="s">
        <v>28</v>
      </c>
      <c r="D446" t="s">
        <v>24</v>
      </c>
      <c r="E446" t="s">
        <v>25</v>
      </c>
      <c r="F446" t="s">
        <v>24</v>
      </c>
      <c r="G446" s="7">
        <v>10</v>
      </c>
      <c r="H446" s="1">
        <v>772.3</v>
      </c>
      <c r="I446" t="s">
        <v>30</v>
      </c>
      <c r="J446" s="1">
        <v>7723</v>
      </c>
    </row>
    <row r="447" spans="1:10" x14ac:dyDescent="0.35">
      <c r="A447" s="5" t="s">
        <v>218</v>
      </c>
      <c r="B447" t="s">
        <v>643</v>
      </c>
      <c r="C447" t="s">
        <v>35</v>
      </c>
      <c r="D447" t="s">
        <v>13</v>
      </c>
      <c r="E447" t="s">
        <v>29</v>
      </c>
      <c r="F447" t="s">
        <v>13</v>
      </c>
      <c r="G447" s="7">
        <v>6</v>
      </c>
      <c r="H447" s="1">
        <v>22673.23</v>
      </c>
      <c r="I447" t="s">
        <v>30</v>
      </c>
      <c r="J447" s="1">
        <v>136039.38</v>
      </c>
    </row>
    <row r="448" spans="1:10" x14ac:dyDescent="0.35">
      <c r="A448" s="5" t="s">
        <v>299</v>
      </c>
      <c r="B448" t="s">
        <v>644</v>
      </c>
      <c r="C448" t="s">
        <v>35</v>
      </c>
      <c r="D448" t="s">
        <v>59</v>
      </c>
      <c r="E448" t="s">
        <v>60</v>
      </c>
      <c r="F448" t="s">
        <v>59</v>
      </c>
      <c r="G448" s="7">
        <v>10</v>
      </c>
      <c r="H448" s="1">
        <v>1377.75</v>
      </c>
      <c r="I448" t="s">
        <v>21</v>
      </c>
      <c r="J448" s="1">
        <v>13777.5</v>
      </c>
    </row>
    <row r="449" spans="1:10" x14ac:dyDescent="0.35">
      <c r="A449" s="5" t="s">
        <v>390</v>
      </c>
      <c r="B449" t="s">
        <v>645</v>
      </c>
      <c r="C449" t="s">
        <v>12</v>
      </c>
      <c r="D449" t="s">
        <v>13</v>
      </c>
      <c r="E449" t="s">
        <v>29</v>
      </c>
      <c r="F449" t="s">
        <v>13</v>
      </c>
      <c r="G449" s="7">
        <v>6</v>
      </c>
      <c r="H449" s="1">
        <v>27065.58</v>
      </c>
      <c r="I449" t="s">
        <v>41</v>
      </c>
      <c r="J449" s="1">
        <v>162393.48000000001</v>
      </c>
    </row>
    <row r="450" spans="1:10" x14ac:dyDescent="0.35">
      <c r="A450" s="5" t="s">
        <v>160</v>
      </c>
      <c r="B450" t="s">
        <v>646</v>
      </c>
      <c r="C450" t="s">
        <v>28</v>
      </c>
      <c r="D450" t="s">
        <v>13</v>
      </c>
      <c r="E450" t="s">
        <v>14</v>
      </c>
      <c r="F450" t="s">
        <v>13</v>
      </c>
      <c r="G450" s="7">
        <v>5</v>
      </c>
      <c r="H450" s="1">
        <v>54751.199999999997</v>
      </c>
      <c r="I450" t="s">
        <v>15</v>
      </c>
      <c r="J450" s="1">
        <v>273756</v>
      </c>
    </row>
    <row r="451" spans="1:10" x14ac:dyDescent="0.35">
      <c r="A451" s="5" t="s">
        <v>633</v>
      </c>
      <c r="B451" t="s">
        <v>647</v>
      </c>
      <c r="C451" t="s">
        <v>35</v>
      </c>
      <c r="D451" t="s">
        <v>19</v>
      </c>
      <c r="E451" t="s">
        <v>20</v>
      </c>
      <c r="F451" t="s">
        <v>19</v>
      </c>
      <c r="G451" s="7">
        <v>9</v>
      </c>
      <c r="H451" s="1">
        <v>28515.68</v>
      </c>
      <c r="I451" t="s">
        <v>15</v>
      </c>
      <c r="J451" s="1">
        <v>256641.12</v>
      </c>
    </row>
    <row r="452" spans="1:10" x14ac:dyDescent="0.35">
      <c r="A452" s="5" t="s">
        <v>218</v>
      </c>
      <c r="B452" t="s">
        <v>648</v>
      </c>
      <c r="C452" t="s">
        <v>56</v>
      </c>
      <c r="D452" t="s">
        <v>19</v>
      </c>
      <c r="E452" t="s">
        <v>36</v>
      </c>
      <c r="F452" t="s">
        <v>19</v>
      </c>
      <c r="G452" s="7">
        <v>10</v>
      </c>
      <c r="H452" s="1">
        <v>11356.04</v>
      </c>
      <c r="I452" t="s">
        <v>15</v>
      </c>
      <c r="J452" s="1">
        <v>113560.4</v>
      </c>
    </row>
    <row r="453" spans="1:10" x14ac:dyDescent="0.35">
      <c r="A453" s="5" t="s">
        <v>83</v>
      </c>
      <c r="B453" t="s">
        <v>649</v>
      </c>
      <c r="C453" t="s">
        <v>18</v>
      </c>
      <c r="D453" t="s">
        <v>13</v>
      </c>
      <c r="E453" t="s">
        <v>29</v>
      </c>
      <c r="F453" t="s">
        <v>13</v>
      </c>
      <c r="G453" s="7">
        <v>7</v>
      </c>
      <c r="H453" s="1">
        <v>24878.79</v>
      </c>
      <c r="I453" t="s">
        <v>15</v>
      </c>
      <c r="J453" s="1">
        <v>174151.53</v>
      </c>
    </row>
    <row r="454" spans="1:10" x14ac:dyDescent="0.35">
      <c r="A454" s="5" t="s">
        <v>305</v>
      </c>
      <c r="B454" t="s">
        <v>650</v>
      </c>
      <c r="C454" t="s">
        <v>71</v>
      </c>
      <c r="D454" t="s">
        <v>13</v>
      </c>
      <c r="E454" t="s">
        <v>29</v>
      </c>
      <c r="F454" t="s">
        <v>13</v>
      </c>
      <c r="G454" s="7">
        <v>10</v>
      </c>
      <c r="H454" s="1">
        <v>23162.14</v>
      </c>
      <c r="I454" t="s">
        <v>41</v>
      </c>
      <c r="J454" s="1">
        <v>231621.4</v>
      </c>
    </row>
    <row r="455" spans="1:10" x14ac:dyDescent="0.35">
      <c r="A455" s="5" t="s">
        <v>284</v>
      </c>
      <c r="B455" t="s">
        <v>651</v>
      </c>
      <c r="C455" t="s">
        <v>56</v>
      </c>
      <c r="D455" t="s">
        <v>24</v>
      </c>
      <c r="E455" t="s">
        <v>25</v>
      </c>
      <c r="F455" t="s">
        <v>24</v>
      </c>
      <c r="G455" s="7">
        <v>7</v>
      </c>
      <c r="H455" s="1">
        <v>793.25</v>
      </c>
      <c r="I455" t="s">
        <v>30</v>
      </c>
      <c r="J455" s="1">
        <v>5552.75</v>
      </c>
    </row>
    <row r="456" spans="1:10" x14ac:dyDescent="0.35">
      <c r="A456" s="5" t="s">
        <v>652</v>
      </c>
      <c r="B456" t="s">
        <v>653</v>
      </c>
      <c r="C456" t="s">
        <v>35</v>
      </c>
      <c r="D456" t="s">
        <v>19</v>
      </c>
      <c r="E456" t="s">
        <v>20</v>
      </c>
      <c r="F456" t="s">
        <v>19</v>
      </c>
      <c r="G456" s="7">
        <v>2</v>
      </c>
      <c r="H456" s="1">
        <v>30851.37</v>
      </c>
      <c r="I456" t="s">
        <v>15</v>
      </c>
      <c r="J456" s="1">
        <v>61702.74</v>
      </c>
    </row>
    <row r="457" spans="1:10" x14ac:dyDescent="0.35">
      <c r="A457" s="5" t="s">
        <v>335</v>
      </c>
      <c r="B457" t="s">
        <v>654</v>
      </c>
      <c r="C457" t="s">
        <v>71</v>
      </c>
      <c r="D457" t="s">
        <v>59</v>
      </c>
      <c r="E457" t="s">
        <v>60</v>
      </c>
      <c r="F457" t="s">
        <v>59</v>
      </c>
      <c r="G457" s="7">
        <v>7</v>
      </c>
      <c r="H457" s="1">
        <v>1627.87</v>
      </c>
      <c r="I457" t="s">
        <v>41</v>
      </c>
      <c r="J457" s="1">
        <v>11395.09</v>
      </c>
    </row>
    <row r="458" spans="1:10" x14ac:dyDescent="0.35">
      <c r="A458" s="5" t="s">
        <v>330</v>
      </c>
      <c r="B458" t="s">
        <v>655</v>
      </c>
      <c r="C458" t="s">
        <v>56</v>
      </c>
      <c r="D458" t="s">
        <v>59</v>
      </c>
      <c r="E458" t="s">
        <v>60</v>
      </c>
      <c r="F458" t="s">
        <v>59</v>
      </c>
      <c r="G458" s="7">
        <v>8</v>
      </c>
      <c r="H458" s="1">
        <v>1610.02</v>
      </c>
      <c r="I458" t="s">
        <v>21</v>
      </c>
      <c r="J458" s="1">
        <v>12880.16</v>
      </c>
    </row>
    <row r="459" spans="1:10" x14ac:dyDescent="0.35">
      <c r="A459" s="5" t="s">
        <v>122</v>
      </c>
      <c r="B459" t="s">
        <v>656</v>
      </c>
      <c r="C459" t="s">
        <v>35</v>
      </c>
      <c r="D459" t="s">
        <v>59</v>
      </c>
      <c r="E459" t="s">
        <v>60</v>
      </c>
      <c r="F459" t="s">
        <v>59</v>
      </c>
      <c r="G459" s="7">
        <v>8</v>
      </c>
      <c r="H459" s="1">
        <v>1539.69</v>
      </c>
      <c r="I459" t="s">
        <v>30</v>
      </c>
      <c r="J459" s="1">
        <v>12317.52</v>
      </c>
    </row>
    <row r="460" spans="1:10" x14ac:dyDescent="0.35">
      <c r="A460" s="5" t="s">
        <v>338</v>
      </c>
      <c r="B460" t="s">
        <v>657</v>
      </c>
      <c r="C460" t="s">
        <v>18</v>
      </c>
      <c r="D460" t="s">
        <v>13</v>
      </c>
      <c r="E460" t="s">
        <v>14</v>
      </c>
      <c r="F460" t="s">
        <v>13</v>
      </c>
      <c r="G460" s="7">
        <v>3</v>
      </c>
      <c r="H460" s="1">
        <v>59012.57</v>
      </c>
      <c r="I460" t="s">
        <v>21</v>
      </c>
      <c r="J460" s="1">
        <v>177037.71</v>
      </c>
    </row>
    <row r="461" spans="1:10" x14ac:dyDescent="0.35">
      <c r="A461" s="5" t="s">
        <v>536</v>
      </c>
      <c r="B461" t="s">
        <v>658</v>
      </c>
      <c r="C461" t="s">
        <v>71</v>
      </c>
      <c r="D461" t="s">
        <v>13</v>
      </c>
      <c r="E461" t="s">
        <v>29</v>
      </c>
      <c r="F461" t="s">
        <v>13</v>
      </c>
      <c r="G461" s="7">
        <v>10</v>
      </c>
      <c r="H461" s="1">
        <v>26520.9</v>
      </c>
      <c r="I461" t="s">
        <v>21</v>
      </c>
      <c r="J461" s="1">
        <v>265209</v>
      </c>
    </row>
    <row r="462" spans="1:10" x14ac:dyDescent="0.35">
      <c r="A462" s="5" t="s">
        <v>117</v>
      </c>
      <c r="B462" t="s">
        <v>659</v>
      </c>
      <c r="C462" t="s">
        <v>28</v>
      </c>
      <c r="D462" t="s">
        <v>24</v>
      </c>
      <c r="E462" t="s">
        <v>25</v>
      </c>
      <c r="F462" t="s">
        <v>24</v>
      </c>
      <c r="G462" s="7">
        <v>7</v>
      </c>
      <c r="H462" s="1">
        <v>840.99</v>
      </c>
      <c r="I462" t="s">
        <v>15</v>
      </c>
      <c r="J462" s="1">
        <v>5886.93</v>
      </c>
    </row>
    <row r="463" spans="1:10" x14ac:dyDescent="0.35">
      <c r="A463" s="5" t="s">
        <v>190</v>
      </c>
      <c r="B463" t="s">
        <v>660</v>
      </c>
      <c r="C463" t="s">
        <v>28</v>
      </c>
      <c r="D463" t="s">
        <v>19</v>
      </c>
      <c r="E463" t="s">
        <v>20</v>
      </c>
      <c r="F463" t="s">
        <v>19</v>
      </c>
      <c r="G463" s="7">
        <v>5</v>
      </c>
      <c r="H463" s="1">
        <v>28344.92</v>
      </c>
      <c r="I463" t="s">
        <v>30</v>
      </c>
      <c r="J463" s="1">
        <v>141724.6</v>
      </c>
    </row>
    <row r="464" spans="1:10" x14ac:dyDescent="0.35">
      <c r="A464" s="5" t="s">
        <v>372</v>
      </c>
      <c r="B464" t="s">
        <v>661</v>
      </c>
      <c r="C464" t="s">
        <v>28</v>
      </c>
      <c r="D464" t="s">
        <v>19</v>
      </c>
      <c r="E464" t="s">
        <v>20</v>
      </c>
      <c r="F464" t="s">
        <v>19</v>
      </c>
      <c r="G464" s="7">
        <v>6</v>
      </c>
      <c r="H464" s="1">
        <v>27095.200000000001</v>
      </c>
      <c r="I464" t="s">
        <v>41</v>
      </c>
      <c r="J464" s="1">
        <v>162571.20000000001</v>
      </c>
    </row>
    <row r="465" spans="1:10" x14ac:dyDescent="0.35">
      <c r="A465" s="5" t="s">
        <v>405</v>
      </c>
      <c r="B465" t="s">
        <v>662</v>
      </c>
      <c r="C465" t="s">
        <v>71</v>
      </c>
      <c r="D465" t="s">
        <v>13</v>
      </c>
      <c r="E465" t="s">
        <v>14</v>
      </c>
      <c r="F465" t="s">
        <v>13</v>
      </c>
      <c r="G465" s="7">
        <v>2</v>
      </c>
      <c r="H465" s="1">
        <v>53253.39</v>
      </c>
      <c r="I465" t="s">
        <v>21</v>
      </c>
      <c r="J465" s="1">
        <v>106506.78</v>
      </c>
    </row>
    <row r="466" spans="1:10" x14ac:dyDescent="0.35">
      <c r="A466" s="5" t="s">
        <v>663</v>
      </c>
      <c r="B466" t="s">
        <v>664</v>
      </c>
      <c r="C466" t="s">
        <v>12</v>
      </c>
      <c r="D466" t="s">
        <v>13</v>
      </c>
      <c r="E466" t="s">
        <v>29</v>
      </c>
      <c r="F466" t="s">
        <v>13</v>
      </c>
      <c r="G466" s="7">
        <v>3</v>
      </c>
      <c r="H466" s="1">
        <v>23636.54</v>
      </c>
      <c r="I466" t="s">
        <v>21</v>
      </c>
      <c r="J466" s="1">
        <v>70909.62</v>
      </c>
    </row>
    <row r="467" spans="1:10" x14ac:dyDescent="0.35">
      <c r="A467" s="5" t="s">
        <v>50</v>
      </c>
      <c r="B467" t="s">
        <v>665</v>
      </c>
      <c r="C467" t="s">
        <v>71</v>
      </c>
      <c r="D467" t="s">
        <v>19</v>
      </c>
      <c r="E467" t="s">
        <v>20</v>
      </c>
      <c r="F467" t="s">
        <v>19</v>
      </c>
      <c r="G467" s="7">
        <v>2</v>
      </c>
      <c r="H467" s="1">
        <v>29666.21</v>
      </c>
      <c r="I467" t="s">
        <v>30</v>
      </c>
      <c r="J467" s="1">
        <v>59332.42</v>
      </c>
    </row>
    <row r="468" spans="1:10" x14ac:dyDescent="0.35">
      <c r="A468" s="5" t="s">
        <v>469</v>
      </c>
      <c r="B468" t="s">
        <v>666</v>
      </c>
      <c r="C468" t="s">
        <v>18</v>
      </c>
      <c r="D468" t="s">
        <v>19</v>
      </c>
      <c r="E468" t="s">
        <v>36</v>
      </c>
      <c r="F468" t="s">
        <v>19</v>
      </c>
      <c r="G468" s="7">
        <v>6</v>
      </c>
      <c r="H468" s="1">
        <v>11519.97</v>
      </c>
      <c r="I468" t="s">
        <v>15</v>
      </c>
      <c r="J468" s="1">
        <v>69119.820000000007</v>
      </c>
    </row>
    <row r="469" spans="1:10" x14ac:dyDescent="0.35">
      <c r="A469" s="5" t="s">
        <v>242</v>
      </c>
      <c r="B469" t="s">
        <v>667</v>
      </c>
      <c r="C469" t="s">
        <v>56</v>
      </c>
      <c r="D469" t="s">
        <v>19</v>
      </c>
      <c r="E469" t="s">
        <v>20</v>
      </c>
      <c r="F469" t="s">
        <v>19</v>
      </c>
      <c r="G469" s="7">
        <v>8</v>
      </c>
      <c r="H469" s="1">
        <v>29709.62</v>
      </c>
      <c r="I469" t="s">
        <v>41</v>
      </c>
      <c r="J469" s="1">
        <v>237676.96</v>
      </c>
    </row>
    <row r="470" spans="1:10" x14ac:dyDescent="0.35">
      <c r="A470" s="5" t="s">
        <v>467</v>
      </c>
      <c r="B470" t="s">
        <v>668</v>
      </c>
      <c r="C470" t="s">
        <v>35</v>
      </c>
      <c r="D470" t="s">
        <v>13</v>
      </c>
      <c r="E470" t="s">
        <v>29</v>
      </c>
      <c r="F470" t="s">
        <v>13</v>
      </c>
      <c r="G470" s="7">
        <v>7</v>
      </c>
      <c r="H470" s="1">
        <v>23523.95</v>
      </c>
      <c r="I470" t="s">
        <v>15</v>
      </c>
      <c r="J470" s="1">
        <v>164667.65</v>
      </c>
    </row>
    <row r="471" spans="1:10" x14ac:dyDescent="0.35">
      <c r="A471" s="5" t="s">
        <v>218</v>
      </c>
      <c r="B471" t="s">
        <v>669</v>
      </c>
      <c r="C471" t="s">
        <v>28</v>
      </c>
      <c r="D471" t="s">
        <v>19</v>
      </c>
      <c r="E471" t="s">
        <v>36</v>
      </c>
      <c r="F471" t="s">
        <v>19</v>
      </c>
      <c r="G471" s="7">
        <v>10</v>
      </c>
      <c r="H471" s="1">
        <v>11254.8</v>
      </c>
      <c r="I471" t="s">
        <v>30</v>
      </c>
      <c r="J471" s="1">
        <v>112548</v>
      </c>
    </row>
    <row r="472" spans="1:10" x14ac:dyDescent="0.35">
      <c r="A472" s="5" t="s">
        <v>670</v>
      </c>
      <c r="B472" t="s">
        <v>671</v>
      </c>
      <c r="C472" t="s">
        <v>28</v>
      </c>
      <c r="D472" t="s">
        <v>59</v>
      </c>
      <c r="E472" t="s">
        <v>60</v>
      </c>
      <c r="F472" t="s">
        <v>59</v>
      </c>
      <c r="G472" s="7">
        <v>5</v>
      </c>
      <c r="H472" s="1">
        <v>1496.67</v>
      </c>
      <c r="I472" t="s">
        <v>15</v>
      </c>
      <c r="J472" s="1">
        <v>7483.35</v>
      </c>
    </row>
    <row r="473" spans="1:10" x14ac:dyDescent="0.35">
      <c r="A473" s="5" t="s">
        <v>236</v>
      </c>
      <c r="B473" t="s">
        <v>672</v>
      </c>
      <c r="C473" t="s">
        <v>71</v>
      </c>
      <c r="D473" t="s">
        <v>13</v>
      </c>
      <c r="E473" t="s">
        <v>29</v>
      </c>
      <c r="F473" t="s">
        <v>13</v>
      </c>
      <c r="G473" s="7">
        <v>10</v>
      </c>
      <c r="H473" s="1">
        <v>25060.21</v>
      </c>
      <c r="I473" t="s">
        <v>21</v>
      </c>
      <c r="J473" s="1">
        <v>250602.1</v>
      </c>
    </row>
    <row r="474" spans="1:10" x14ac:dyDescent="0.35">
      <c r="A474" s="5" t="s">
        <v>347</v>
      </c>
      <c r="B474" t="s">
        <v>673</v>
      </c>
      <c r="C474" t="s">
        <v>71</v>
      </c>
      <c r="D474" t="s">
        <v>13</v>
      </c>
      <c r="E474" t="s">
        <v>29</v>
      </c>
      <c r="F474" t="s">
        <v>13</v>
      </c>
      <c r="G474" s="7">
        <v>9</v>
      </c>
      <c r="H474" s="1">
        <v>26674.73</v>
      </c>
      <c r="I474" t="s">
        <v>41</v>
      </c>
      <c r="J474" s="1">
        <v>240072.57</v>
      </c>
    </row>
    <row r="475" spans="1:10" x14ac:dyDescent="0.35">
      <c r="A475" s="5" t="s">
        <v>663</v>
      </c>
      <c r="B475" t="s">
        <v>674</v>
      </c>
      <c r="C475" t="s">
        <v>71</v>
      </c>
      <c r="D475" t="s">
        <v>13</v>
      </c>
      <c r="E475" t="s">
        <v>29</v>
      </c>
      <c r="F475" t="s">
        <v>13</v>
      </c>
      <c r="G475" s="7">
        <v>2</v>
      </c>
      <c r="H475" s="1">
        <v>25325.919999999998</v>
      </c>
      <c r="I475" t="s">
        <v>15</v>
      </c>
      <c r="J475" s="1">
        <v>50651.839999999997</v>
      </c>
    </row>
    <row r="476" spans="1:10" x14ac:dyDescent="0.35">
      <c r="A476" s="5" t="s">
        <v>46</v>
      </c>
      <c r="B476" t="s">
        <v>675</v>
      </c>
      <c r="C476" t="s">
        <v>18</v>
      </c>
      <c r="D476" t="s">
        <v>19</v>
      </c>
      <c r="E476" t="s">
        <v>20</v>
      </c>
      <c r="F476" t="s">
        <v>19</v>
      </c>
      <c r="G476" s="7">
        <v>6</v>
      </c>
      <c r="H476" s="1">
        <v>27521.8</v>
      </c>
      <c r="I476" t="s">
        <v>30</v>
      </c>
      <c r="J476" s="1">
        <v>165130.79999999999</v>
      </c>
    </row>
    <row r="477" spans="1:10" x14ac:dyDescent="0.35">
      <c r="A477" s="5" t="s">
        <v>405</v>
      </c>
      <c r="B477" t="s">
        <v>676</v>
      </c>
      <c r="C477" t="s">
        <v>12</v>
      </c>
      <c r="D477" t="s">
        <v>19</v>
      </c>
      <c r="E477" t="s">
        <v>36</v>
      </c>
      <c r="F477" t="s">
        <v>19</v>
      </c>
      <c r="G477" s="7">
        <v>7</v>
      </c>
      <c r="H477" s="1">
        <v>11712.8</v>
      </c>
      <c r="I477" t="s">
        <v>21</v>
      </c>
      <c r="J477" s="1">
        <v>81989.600000000006</v>
      </c>
    </row>
    <row r="478" spans="1:10" x14ac:dyDescent="0.35">
      <c r="A478" s="5" t="s">
        <v>294</v>
      </c>
      <c r="B478" t="s">
        <v>677</v>
      </c>
      <c r="C478" t="s">
        <v>71</v>
      </c>
      <c r="D478" t="s">
        <v>19</v>
      </c>
      <c r="E478" t="s">
        <v>20</v>
      </c>
      <c r="F478" t="s">
        <v>19</v>
      </c>
      <c r="G478" s="7">
        <v>3</v>
      </c>
      <c r="H478" s="1">
        <v>28705.3</v>
      </c>
      <c r="I478" t="s">
        <v>41</v>
      </c>
      <c r="J478" s="1">
        <v>86115.9</v>
      </c>
    </row>
    <row r="479" spans="1:10" x14ac:dyDescent="0.35">
      <c r="A479" s="5" t="s">
        <v>190</v>
      </c>
      <c r="B479" t="s">
        <v>678</v>
      </c>
      <c r="C479" t="s">
        <v>71</v>
      </c>
      <c r="D479" t="s">
        <v>24</v>
      </c>
      <c r="E479" t="s">
        <v>25</v>
      </c>
      <c r="F479" t="s">
        <v>24</v>
      </c>
      <c r="G479" s="7">
        <v>7</v>
      </c>
      <c r="H479" s="1">
        <v>805.76</v>
      </c>
      <c r="I479" t="s">
        <v>30</v>
      </c>
      <c r="J479" s="1">
        <v>5640.32</v>
      </c>
    </row>
    <row r="480" spans="1:10" x14ac:dyDescent="0.35">
      <c r="A480" s="5" t="s">
        <v>226</v>
      </c>
      <c r="B480" t="s">
        <v>679</v>
      </c>
      <c r="C480" t="s">
        <v>56</v>
      </c>
      <c r="D480" t="s">
        <v>13</v>
      </c>
      <c r="E480" t="s">
        <v>29</v>
      </c>
      <c r="F480" t="s">
        <v>13</v>
      </c>
      <c r="G480" s="7">
        <v>5</v>
      </c>
      <c r="H480" s="1">
        <v>22977.279999999999</v>
      </c>
      <c r="I480" t="s">
        <v>15</v>
      </c>
      <c r="J480" s="1">
        <v>114886.39999999999</v>
      </c>
    </row>
    <row r="481" spans="1:10" x14ac:dyDescent="0.35">
      <c r="A481" s="5" t="s">
        <v>257</v>
      </c>
      <c r="B481" t="s">
        <v>680</v>
      </c>
      <c r="C481" t="s">
        <v>28</v>
      </c>
      <c r="D481" t="s">
        <v>24</v>
      </c>
      <c r="E481" t="s">
        <v>25</v>
      </c>
      <c r="F481" t="s">
        <v>24</v>
      </c>
      <c r="G481" s="7">
        <v>5</v>
      </c>
      <c r="H481" s="1">
        <v>729.57</v>
      </c>
      <c r="I481" t="s">
        <v>21</v>
      </c>
      <c r="J481" s="1">
        <v>3647.85</v>
      </c>
    </row>
    <row r="482" spans="1:10" x14ac:dyDescent="0.35">
      <c r="A482" s="5" t="s">
        <v>511</v>
      </c>
      <c r="B482" t="s">
        <v>681</v>
      </c>
      <c r="C482" t="s">
        <v>71</v>
      </c>
      <c r="D482" t="s">
        <v>24</v>
      </c>
      <c r="E482" t="s">
        <v>25</v>
      </c>
      <c r="F482" t="s">
        <v>24</v>
      </c>
      <c r="G482" s="7">
        <v>2</v>
      </c>
      <c r="H482" s="1">
        <v>846.63</v>
      </c>
      <c r="I482" t="s">
        <v>30</v>
      </c>
      <c r="J482" s="1">
        <v>1693.26</v>
      </c>
    </row>
    <row r="483" spans="1:10" x14ac:dyDescent="0.35">
      <c r="A483" s="5" t="s">
        <v>682</v>
      </c>
      <c r="B483" t="s">
        <v>683</v>
      </c>
      <c r="C483" t="s">
        <v>35</v>
      </c>
      <c r="D483" t="s">
        <v>19</v>
      </c>
      <c r="E483" t="s">
        <v>20</v>
      </c>
      <c r="F483" t="s">
        <v>19</v>
      </c>
      <c r="G483" s="7">
        <v>4</v>
      </c>
      <c r="H483" s="1">
        <v>31401.72</v>
      </c>
      <c r="I483" t="s">
        <v>21</v>
      </c>
      <c r="J483" s="1">
        <v>125606.88</v>
      </c>
    </row>
    <row r="484" spans="1:10" x14ac:dyDescent="0.35">
      <c r="A484" s="5" t="s">
        <v>434</v>
      </c>
      <c r="B484" t="s">
        <v>684</v>
      </c>
      <c r="C484" t="s">
        <v>35</v>
      </c>
      <c r="D484" t="s">
        <v>13</v>
      </c>
      <c r="E484" t="s">
        <v>29</v>
      </c>
      <c r="F484" t="s">
        <v>13</v>
      </c>
      <c r="G484" s="7">
        <v>2</v>
      </c>
      <c r="H484" s="1">
        <v>25471.77</v>
      </c>
      <c r="I484" t="s">
        <v>41</v>
      </c>
      <c r="J484" s="1">
        <v>50943.54</v>
      </c>
    </row>
    <row r="485" spans="1:10" x14ac:dyDescent="0.35">
      <c r="A485" s="5" t="s">
        <v>367</v>
      </c>
      <c r="B485" t="s">
        <v>685</v>
      </c>
      <c r="C485" t="s">
        <v>56</v>
      </c>
      <c r="D485" t="s">
        <v>19</v>
      </c>
      <c r="E485" t="s">
        <v>20</v>
      </c>
      <c r="F485" t="s">
        <v>19</v>
      </c>
      <c r="G485" s="7">
        <v>3</v>
      </c>
      <c r="H485" s="1">
        <v>27839.74</v>
      </c>
      <c r="I485" t="s">
        <v>15</v>
      </c>
      <c r="J485" s="1">
        <v>83519.22</v>
      </c>
    </row>
    <row r="486" spans="1:10" x14ac:dyDescent="0.35">
      <c r="A486" s="5" t="s">
        <v>238</v>
      </c>
      <c r="B486" t="s">
        <v>686</v>
      </c>
      <c r="C486" t="s">
        <v>28</v>
      </c>
      <c r="D486" t="s">
        <v>13</v>
      </c>
      <c r="E486" t="s">
        <v>14</v>
      </c>
      <c r="F486" t="s">
        <v>13</v>
      </c>
      <c r="G486" s="7">
        <v>3</v>
      </c>
      <c r="H486" s="1">
        <v>58335.72</v>
      </c>
      <c r="I486" t="s">
        <v>15</v>
      </c>
      <c r="J486" s="1">
        <v>175007.16</v>
      </c>
    </row>
    <row r="487" spans="1:10" x14ac:dyDescent="0.35">
      <c r="A487" s="5" t="s">
        <v>434</v>
      </c>
      <c r="B487" t="s">
        <v>687</v>
      </c>
      <c r="C487" t="s">
        <v>18</v>
      </c>
      <c r="D487" t="s">
        <v>24</v>
      </c>
      <c r="E487" t="s">
        <v>25</v>
      </c>
      <c r="F487" t="s">
        <v>24</v>
      </c>
      <c r="G487" s="7">
        <v>6</v>
      </c>
      <c r="H487" s="1">
        <v>840.7</v>
      </c>
      <c r="I487" t="s">
        <v>41</v>
      </c>
      <c r="J487" s="1">
        <v>5044.2</v>
      </c>
    </row>
    <row r="488" spans="1:10" x14ac:dyDescent="0.35">
      <c r="A488" s="5" t="s">
        <v>275</v>
      </c>
      <c r="B488" t="s">
        <v>688</v>
      </c>
      <c r="C488" t="s">
        <v>28</v>
      </c>
      <c r="D488" t="s">
        <v>59</v>
      </c>
      <c r="E488" t="s">
        <v>60</v>
      </c>
      <c r="F488" t="s">
        <v>59</v>
      </c>
      <c r="G488" s="7">
        <v>2</v>
      </c>
      <c r="H488" s="1">
        <v>1586.27</v>
      </c>
      <c r="I488" t="s">
        <v>30</v>
      </c>
      <c r="J488" s="1">
        <v>3172.54</v>
      </c>
    </row>
    <row r="489" spans="1:10" x14ac:dyDescent="0.35">
      <c r="A489" s="5" t="s">
        <v>595</v>
      </c>
      <c r="B489" t="s">
        <v>689</v>
      </c>
      <c r="C489" t="s">
        <v>35</v>
      </c>
      <c r="D489" t="s">
        <v>19</v>
      </c>
      <c r="E489" t="s">
        <v>20</v>
      </c>
      <c r="F489" t="s">
        <v>19</v>
      </c>
      <c r="G489" s="7">
        <v>7</v>
      </c>
      <c r="H489" s="1">
        <v>30691.73</v>
      </c>
      <c r="I489" t="s">
        <v>41</v>
      </c>
      <c r="J489" s="1">
        <v>214842.11</v>
      </c>
    </row>
    <row r="490" spans="1:10" x14ac:dyDescent="0.35">
      <c r="A490" s="5" t="s">
        <v>288</v>
      </c>
      <c r="B490" t="s">
        <v>690</v>
      </c>
      <c r="C490" t="s">
        <v>35</v>
      </c>
      <c r="D490" t="s">
        <v>19</v>
      </c>
      <c r="E490" t="s">
        <v>20</v>
      </c>
      <c r="F490" t="s">
        <v>19</v>
      </c>
      <c r="G490" s="7">
        <v>7</v>
      </c>
      <c r="H490" s="1">
        <v>32388.54</v>
      </c>
      <c r="I490" t="s">
        <v>41</v>
      </c>
      <c r="J490" s="1">
        <v>226719.78</v>
      </c>
    </row>
    <row r="491" spans="1:10" x14ac:dyDescent="0.35">
      <c r="A491" s="5" t="s">
        <v>146</v>
      </c>
      <c r="B491" t="s">
        <v>691</v>
      </c>
      <c r="C491" t="s">
        <v>12</v>
      </c>
      <c r="D491" t="s">
        <v>19</v>
      </c>
      <c r="E491" t="s">
        <v>20</v>
      </c>
      <c r="F491" t="s">
        <v>19</v>
      </c>
      <c r="G491" s="7">
        <v>4</v>
      </c>
      <c r="H491" s="1">
        <v>27387.040000000001</v>
      </c>
      <c r="I491" t="s">
        <v>30</v>
      </c>
      <c r="J491" s="1">
        <v>109548.16</v>
      </c>
    </row>
    <row r="492" spans="1:10" x14ac:dyDescent="0.35">
      <c r="A492" s="5" t="s">
        <v>160</v>
      </c>
      <c r="B492" t="s">
        <v>692</v>
      </c>
      <c r="C492" t="s">
        <v>35</v>
      </c>
      <c r="D492" t="s">
        <v>59</v>
      </c>
      <c r="E492" t="s">
        <v>60</v>
      </c>
      <c r="F492" t="s">
        <v>59</v>
      </c>
      <c r="G492" s="7">
        <v>2</v>
      </c>
      <c r="H492" s="1">
        <v>1616.39</v>
      </c>
      <c r="I492" t="s">
        <v>30</v>
      </c>
      <c r="J492" s="1">
        <v>3232.78</v>
      </c>
    </row>
    <row r="493" spans="1:10" x14ac:dyDescent="0.35">
      <c r="A493" s="5" t="s">
        <v>423</v>
      </c>
      <c r="B493" t="s">
        <v>693</v>
      </c>
      <c r="C493" t="s">
        <v>12</v>
      </c>
      <c r="D493" t="s">
        <v>13</v>
      </c>
      <c r="E493" t="s">
        <v>29</v>
      </c>
      <c r="F493" t="s">
        <v>13</v>
      </c>
      <c r="G493" s="7">
        <v>2</v>
      </c>
      <c r="H493" s="1">
        <v>25433.85</v>
      </c>
      <c r="I493" t="s">
        <v>30</v>
      </c>
      <c r="J493" s="1">
        <v>50867.7</v>
      </c>
    </row>
    <row r="494" spans="1:10" x14ac:dyDescent="0.35">
      <c r="A494" s="5" t="s">
        <v>115</v>
      </c>
      <c r="B494" t="s">
        <v>694</v>
      </c>
      <c r="C494" t="s">
        <v>18</v>
      </c>
      <c r="D494" t="s">
        <v>24</v>
      </c>
      <c r="E494" t="s">
        <v>25</v>
      </c>
      <c r="F494" t="s">
        <v>24</v>
      </c>
      <c r="G494" s="7">
        <v>7</v>
      </c>
      <c r="H494" s="1">
        <v>802.44</v>
      </c>
      <c r="I494" t="s">
        <v>30</v>
      </c>
      <c r="J494" s="1">
        <v>5617.08</v>
      </c>
    </row>
    <row r="495" spans="1:10" x14ac:dyDescent="0.35">
      <c r="A495" s="5" t="s">
        <v>168</v>
      </c>
      <c r="B495" t="s">
        <v>695</v>
      </c>
      <c r="C495" t="s">
        <v>12</v>
      </c>
      <c r="D495" t="s">
        <v>13</v>
      </c>
      <c r="E495" t="s">
        <v>29</v>
      </c>
      <c r="F495" t="s">
        <v>13</v>
      </c>
      <c r="G495" s="7">
        <v>10</v>
      </c>
      <c r="H495" s="1">
        <v>24356.78</v>
      </c>
      <c r="I495" t="s">
        <v>41</v>
      </c>
      <c r="J495" s="1">
        <v>243567.8</v>
      </c>
    </row>
    <row r="496" spans="1:10" x14ac:dyDescent="0.35">
      <c r="A496" s="5" t="s">
        <v>696</v>
      </c>
      <c r="B496" t="s">
        <v>697</v>
      </c>
      <c r="C496" t="s">
        <v>12</v>
      </c>
      <c r="D496" t="s">
        <v>19</v>
      </c>
      <c r="E496" t="s">
        <v>20</v>
      </c>
      <c r="F496" t="s">
        <v>19</v>
      </c>
      <c r="G496" s="7">
        <v>9</v>
      </c>
      <c r="H496" s="1">
        <v>29198.06</v>
      </c>
      <c r="I496" t="s">
        <v>30</v>
      </c>
      <c r="J496" s="1">
        <v>262782.53999999998</v>
      </c>
    </row>
    <row r="497" spans="1:10" x14ac:dyDescent="0.35">
      <c r="A497" s="5" t="s">
        <v>561</v>
      </c>
      <c r="B497" t="s">
        <v>698</v>
      </c>
      <c r="C497" t="s">
        <v>18</v>
      </c>
      <c r="D497" t="s">
        <v>24</v>
      </c>
      <c r="E497" t="s">
        <v>25</v>
      </c>
      <c r="F497" t="s">
        <v>24</v>
      </c>
      <c r="G497" s="7">
        <v>6</v>
      </c>
      <c r="H497" s="1">
        <v>812.99</v>
      </c>
      <c r="I497" t="s">
        <v>21</v>
      </c>
      <c r="J497" s="1">
        <v>4877.9399999999996</v>
      </c>
    </row>
    <row r="498" spans="1:10" x14ac:dyDescent="0.35">
      <c r="A498" s="5" t="s">
        <v>168</v>
      </c>
      <c r="B498" t="s">
        <v>699</v>
      </c>
      <c r="C498" t="s">
        <v>56</v>
      </c>
      <c r="D498" t="s">
        <v>19</v>
      </c>
      <c r="E498" t="s">
        <v>36</v>
      </c>
      <c r="F498" t="s">
        <v>19</v>
      </c>
      <c r="G498" s="7">
        <v>10</v>
      </c>
      <c r="H498" s="1">
        <v>11168.87</v>
      </c>
      <c r="I498" t="s">
        <v>41</v>
      </c>
      <c r="J498" s="1">
        <v>111688.7</v>
      </c>
    </row>
    <row r="499" spans="1:10" x14ac:dyDescent="0.35">
      <c r="A499" s="5" t="s">
        <v>212</v>
      </c>
      <c r="B499" t="s">
        <v>700</v>
      </c>
      <c r="C499" t="s">
        <v>56</v>
      </c>
      <c r="D499" t="s">
        <v>59</v>
      </c>
      <c r="E499" t="s">
        <v>60</v>
      </c>
      <c r="F499" t="s">
        <v>59</v>
      </c>
      <c r="G499" s="7">
        <v>1</v>
      </c>
      <c r="H499" s="1">
        <v>1373.71</v>
      </c>
      <c r="I499" t="s">
        <v>21</v>
      </c>
      <c r="J499" s="1">
        <v>1373.71</v>
      </c>
    </row>
    <row r="500" spans="1:10" x14ac:dyDescent="0.35">
      <c r="A500" s="5" t="s">
        <v>236</v>
      </c>
      <c r="B500" t="s">
        <v>701</v>
      </c>
      <c r="C500" t="s">
        <v>71</v>
      </c>
      <c r="D500" t="s">
        <v>59</v>
      </c>
      <c r="E500" t="s">
        <v>60</v>
      </c>
      <c r="F500" t="s">
        <v>59</v>
      </c>
      <c r="G500" s="7">
        <v>2</v>
      </c>
      <c r="H500" s="1">
        <v>1614.23</v>
      </c>
      <c r="I500" t="s">
        <v>15</v>
      </c>
      <c r="J500" s="1">
        <v>3228.46</v>
      </c>
    </row>
    <row r="501" spans="1:10" x14ac:dyDescent="0.35">
      <c r="A501" s="5" t="s">
        <v>347</v>
      </c>
      <c r="B501" t="s">
        <v>702</v>
      </c>
      <c r="C501" t="s">
        <v>12</v>
      </c>
      <c r="D501" t="s">
        <v>13</v>
      </c>
      <c r="E501" t="s">
        <v>29</v>
      </c>
      <c r="F501" t="s">
        <v>13</v>
      </c>
      <c r="G501" s="7">
        <v>6</v>
      </c>
      <c r="H501" s="1">
        <v>27005.35</v>
      </c>
      <c r="I501" t="s">
        <v>15</v>
      </c>
      <c r="J501" s="1">
        <v>162032.1</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55827-C654-4E37-95EC-4ED587EDF1B7}">
  <dimension ref="A2:F190"/>
  <sheetViews>
    <sheetView workbookViewId="0">
      <selection activeCell="M8" sqref="M8"/>
    </sheetView>
  </sheetViews>
  <sheetFormatPr defaultRowHeight="14.5" x14ac:dyDescent="0.35"/>
  <cols>
    <col min="1" max="1" width="13.90625" bestFit="1" customWidth="1"/>
    <col min="2" max="2" width="16.08984375" bestFit="1" customWidth="1"/>
    <col min="5" max="5" width="12.36328125" bestFit="1" customWidth="1"/>
    <col min="6" max="6" width="16.08984375" bestFit="1" customWidth="1"/>
  </cols>
  <sheetData>
    <row r="2" spans="1:6" x14ac:dyDescent="0.35">
      <c r="A2" s="11" t="s">
        <v>708</v>
      </c>
      <c r="B2" s="11"/>
      <c r="E2" s="11" t="s">
        <v>709</v>
      </c>
      <c r="F2" s="11"/>
    </row>
    <row r="3" spans="1:6" x14ac:dyDescent="0.35">
      <c r="A3" s="8" t="s">
        <v>703</v>
      </c>
      <c r="B3" t="s">
        <v>705</v>
      </c>
      <c r="E3" s="8" t="s">
        <v>703</v>
      </c>
      <c r="F3" t="s">
        <v>705</v>
      </c>
    </row>
    <row r="4" spans="1:6" x14ac:dyDescent="0.35">
      <c r="A4" s="9" t="s">
        <v>24</v>
      </c>
      <c r="B4" s="1">
        <v>341605.82000000007</v>
      </c>
      <c r="E4" s="9" t="s">
        <v>21</v>
      </c>
      <c r="F4" s="1">
        <v>14268851.239999995</v>
      </c>
    </row>
    <row r="5" spans="1:6" x14ac:dyDescent="0.35">
      <c r="A5" s="9" t="s">
        <v>13</v>
      </c>
      <c r="B5" s="1">
        <v>34493094.759999998</v>
      </c>
      <c r="E5" s="9" t="s">
        <v>41</v>
      </c>
      <c r="F5" s="1">
        <v>12539405.590000002</v>
      </c>
    </row>
    <row r="6" spans="1:6" x14ac:dyDescent="0.35">
      <c r="A6" s="9" t="s">
        <v>19</v>
      </c>
      <c r="B6" s="1">
        <v>19830445.489999998</v>
      </c>
      <c r="E6" s="9" t="s">
        <v>30</v>
      </c>
      <c r="F6" s="1">
        <v>11872269.539999995</v>
      </c>
    </row>
    <row r="7" spans="1:6" x14ac:dyDescent="0.35">
      <c r="A7" s="9" t="s">
        <v>59</v>
      </c>
      <c r="B7" s="1">
        <v>710816.80000000016</v>
      </c>
      <c r="E7" s="9" t="s">
        <v>15</v>
      </c>
      <c r="F7" s="1">
        <v>16695436.499999994</v>
      </c>
    </row>
    <row r="8" spans="1:6" x14ac:dyDescent="0.35">
      <c r="A8" s="9" t="s">
        <v>704</v>
      </c>
      <c r="B8" s="1">
        <v>55375962.86999999</v>
      </c>
      <c r="E8" s="9" t="s">
        <v>704</v>
      </c>
      <c r="F8" s="1">
        <v>55375962.869999982</v>
      </c>
    </row>
    <row r="14" spans="1:6" x14ac:dyDescent="0.35">
      <c r="A14" s="11" t="s">
        <v>710</v>
      </c>
      <c r="B14" s="11"/>
      <c r="E14" s="11" t="s">
        <v>711</v>
      </c>
      <c r="F14" s="11"/>
    </row>
    <row r="15" spans="1:6" x14ac:dyDescent="0.35">
      <c r="A15" s="8" t="s">
        <v>706</v>
      </c>
      <c r="B15" t="s">
        <v>705</v>
      </c>
      <c r="E15" s="8" t="s">
        <v>703</v>
      </c>
      <c r="F15" t="s">
        <v>705</v>
      </c>
    </row>
    <row r="16" spans="1:6" x14ac:dyDescent="0.35">
      <c r="A16" s="9" t="s">
        <v>707</v>
      </c>
      <c r="B16" s="1">
        <v>55375962.870000005</v>
      </c>
      <c r="E16" s="9" t="s">
        <v>71</v>
      </c>
      <c r="F16" s="1">
        <v>11402758.709999997</v>
      </c>
    </row>
    <row r="17" spans="1:6" x14ac:dyDescent="0.35">
      <c r="A17" s="10" t="s">
        <v>292</v>
      </c>
      <c r="B17" s="1">
        <v>630918.73</v>
      </c>
      <c r="E17" s="9" t="s">
        <v>12</v>
      </c>
      <c r="F17" s="1">
        <v>10528679.699999999</v>
      </c>
    </row>
    <row r="18" spans="1:6" x14ac:dyDescent="0.35">
      <c r="A18" s="10" t="s">
        <v>301</v>
      </c>
      <c r="B18" s="1">
        <v>58011.02</v>
      </c>
      <c r="E18" s="9" t="s">
        <v>28</v>
      </c>
      <c r="F18" s="1">
        <v>8691953.299999997</v>
      </c>
    </row>
    <row r="19" spans="1:6" x14ac:dyDescent="0.35">
      <c r="A19" s="10" t="s">
        <v>387</v>
      </c>
      <c r="B19" s="1">
        <v>485731.32</v>
      </c>
      <c r="E19" s="9" t="s">
        <v>18</v>
      </c>
      <c r="F19" s="1">
        <v>8599205.3200000022</v>
      </c>
    </row>
    <row r="20" spans="1:6" x14ac:dyDescent="0.35">
      <c r="A20" s="10" t="s">
        <v>98</v>
      </c>
      <c r="B20" s="1">
        <v>662319.61</v>
      </c>
      <c r="E20" s="9" t="s">
        <v>56</v>
      </c>
      <c r="F20" s="1">
        <v>8395282.5800000019</v>
      </c>
    </row>
    <row r="21" spans="1:6" x14ac:dyDescent="0.35">
      <c r="A21" s="10" t="s">
        <v>351</v>
      </c>
      <c r="B21" s="1">
        <v>752762.46000000008</v>
      </c>
      <c r="E21" s="9" t="s">
        <v>35</v>
      </c>
      <c r="F21" s="1">
        <v>7758083.2599999998</v>
      </c>
    </row>
    <row r="22" spans="1:6" x14ac:dyDescent="0.35">
      <c r="A22" s="10" t="s">
        <v>131</v>
      </c>
      <c r="B22" s="1">
        <v>543581.56999999995</v>
      </c>
      <c r="E22" s="9" t="s">
        <v>704</v>
      </c>
      <c r="F22" s="1">
        <v>55375962.869999997</v>
      </c>
    </row>
    <row r="23" spans="1:6" x14ac:dyDescent="0.35">
      <c r="A23" s="10" t="s">
        <v>479</v>
      </c>
      <c r="B23" s="1">
        <v>278749.3</v>
      </c>
    </row>
    <row r="24" spans="1:6" x14ac:dyDescent="0.35">
      <c r="A24" s="10" t="s">
        <v>407</v>
      </c>
      <c r="B24" s="1">
        <v>98551.11</v>
      </c>
    </row>
    <row r="25" spans="1:6" x14ac:dyDescent="0.35">
      <c r="A25" s="10" t="s">
        <v>148</v>
      </c>
      <c r="B25" s="1">
        <v>100154.32</v>
      </c>
    </row>
    <row r="26" spans="1:6" x14ac:dyDescent="0.35">
      <c r="A26" s="10" t="s">
        <v>168</v>
      </c>
      <c r="B26" s="1">
        <v>790136.74</v>
      </c>
    </row>
    <row r="27" spans="1:6" x14ac:dyDescent="0.35">
      <c r="A27" s="10" t="s">
        <v>162</v>
      </c>
      <c r="B27" s="1">
        <v>1111318.8</v>
      </c>
    </row>
    <row r="28" spans="1:6" x14ac:dyDescent="0.35">
      <c r="A28" s="10" t="s">
        <v>310</v>
      </c>
      <c r="B28" s="1">
        <v>8065.47</v>
      </c>
    </row>
    <row r="29" spans="1:6" x14ac:dyDescent="0.35">
      <c r="A29" s="10" t="s">
        <v>330</v>
      </c>
      <c r="B29" s="1">
        <v>296945.69999999995</v>
      </c>
    </row>
    <row r="30" spans="1:6" x14ac:dyDescent="0.35">
      <c r="A30" s="10" t="s">
        <v>190</v>
      </c>
      <c r="B30" s="1">
        <v>260068.79</v>
      </c>
    </row>
    <row r="31" spans="1:6" x14ac:dyDescent="0.35">
      <c r="A31" s="10" t="s">
        <v>115</v>
      </c>
      <c r="B31" s="1">
        <v>19745.080000000002</v>
      </c>
    </row>
    <row r="32" spans="1:6" x14ac:dyDescent="0.35">
      <c r="A32" s="10" t="s">
        <v>461</v>
      </c>
      <c r="B32" s="1">
        <v>228857.58000000002</v>
      </c>
    </row>
    <row r="33" spans="1:2" x14ac:dyDescent="0.35">
      <c r="A33" s="10" t="s">
        <v>50</v>
      </c>
      <c r="B33" s="1">
        <v>929738.61</v>
      </c>
    </row>
    <row r="34" spans="1:2" x14ac:dyDescent="0.35">
      <c r="A34" s="10" t="s">
        <v>405</v>
      </c>
      <c r="B34" s="1">
        <v>907426.7</v>
      </c>
    </row>
    <row r="35" spans="1:2" x14ac:dyDescent="0.35">
      <c r="A35" s="10" t="s">
        <v>160</v>
      </c>
      <c r="B35" s="1">
        <v>598226.52</v>
      </c>
    </row>
    <row r="36" spans="1:2" x14ac:dyDescent="0.35">
      <c r="A36" s="10" t="s">
        <v>335</v>
      </c>
      <c r="B36" s="1">
        <v>372745.21</v>
      </c>
    </row>
    <row r="37" spans="1:2" x14ac:dyDescent="0.35">
      <c r="A37" s="10" t="s">
        <v>85</v>
      </c>
      <c r="B37" s="1">
        <v>450790.05</v>
      </c>
    </row>
    <row r="38" spans="1:2" x14ac:dyDescent="0.35">
      <c r="A38" s="10" t="s">
        <v>105</v>
      </c>
      <c r="B38" s="1">
        <v>865080.89999999991</v>
      </c>
    </row>
    <row r="39" spans="1:2" x14ac:dyDescent="0.35">
      <c r="A39" s="10" t="s">
        <v>663</v>
      </c>
      <c r="B39" s="1">
        <v>121561.45999999999</v>
      </c>
    </row>
    <row r="40" spans="1:2" x14ac:dyDescent="0.35">
      <c r="A40" s="10" t="s">
        <v>254</v>
      </c>
      <c r="B40" s="1">
        <v>698321.7</v>
      </c>
    </row>
    <row r="41" spans="1:2" x14ac:dyDescent="0.35">
      <c r="A41" s="10" t="s">
        <v>48</v>
      </c>
      <c r="B41" s="1">
        <v>296300.42</v>
      </c>
    </row>
    <row r="42" spans="1:2" x14ac:dyDescent="0.35">
      <c r="A42" s="10" t="s">
        <v>467</v>
      </c>
      <c r="B42" s="1">
        <v>176946.01</v>
      </c>
    </row>
    <row r="43" spans="1:2" x14ac:dyDescent="0.35">
      <c r="A43" s="10" t="s">
        <v>347</v>
      </c>
      <c r="B43" s="1">
        <v>849886.45</v>
      </c>
    </row>
    <row r="44" spans="1:2" x14ac:dyDescent="0.35">
      <c r="A44" s="10" t="s">
        <v>561</v>
      </c>
      <c r="B44" s="1">
        <v>291480.17</v>
      </c>
    </row>
    <row r="45" spans="1:2" x14ac:dyDescent="0.35">
      <c r="A45" s="10" t="s">
        <v>77</v>
      </c>
      <c r="B45" s="1">
        <v>378270.31</v>
      </c>
    </row>
    <row r="46" spans="1:2" x14ac:dyDescent="0.35">
      <c r="A46" s="10" t="s">
        <v>61</v>
      </c>
      <c r="B46" s="1">
        <v>588231.86</v>
      </c>
    </row>
    <row r="47" spans="1:2" x14ac:dyDescent="0.35">
      <c r="A47" s="10" t="s">
        <v>682</v>
      </c>
      <c r="B47" s="1">
        <v>125606.88</v>
      </c>
    </row>
    <row r="48" spans="1:2" x14ac:dyDescent="0.35">
      <c r="A48" s="10" t="s">
        <v>434</v>
      </c>
      <c r="B48" s="1">
        <v>432770.63</v>
      </c>
    </row>
    <row r="49" spans="1:2" x14ac:dyDescent="0.35">
      <c r="A49" s="10" t="s">
        <v>155</v>
      </c>
      <c r="B49" s="1">
        <v>539590.17999999993</v>
      </c>
    </row>
    <row r="50" spans="1:2" x14ac:dyDescent="0.35">
      <c r="A50" s="10" t="s">
        <v>112</v>
      </c>
      <c r="B50" s="1">
        <v>485245.38999999996</v>
      </c>
    </row>
    <row r="51" spans="1:2" x14ac:dyDescent="0.35">
      <c r="A51" s="10" t="s">
        <v>315</v>
      </c>
      <c r="B51" s="1">
        <v>57857.41</v>
      </c>
    </row>
    <row r="52" spans="1:2" x14ac:dyDescent="0.35">
      <c r="A52" s="10" t="s">
        <v>625</v>
      </c>
      <c r="B52" s="1">
        <v>12975.04</v>
      </c>
    </row>
    <row r="53" spans="1:2" x14ac:dyDescent="0.35">
      <c r="A53" s="10" t="s">
        <v>612</v>
      </c>
      <c r="B53" s="1">
        <v>110407.77</v>
      </c>
    </row>
    <row r="54" spans="1:2" x14ac:dyDescent="0.35">
      <c r="A54" s="10" t="s">
        <v>640</v>
      </c>
      <c r="B54" s="1">
        <v>86981.92</v>
      </c>
    </row>
    <row r="55" spans="1:2" x14ac:dyDescent="0.35">
      <c r="A55" s="10" t="s">
        <v>259</v>
      </c>
      <c r="B55" s="1">
        <v>179898.63</v>
      </c>
    </row>
    <row r="56" spans="1:2" x14ac:dyDescent="0.35">
      <c r="A56" s="10" t="s">
        <v>140</v>
      </c>
      <c r="B56" s="1">
        <v>295577.76999999996</v>
      </c>
    </row>
    <row r="57" spans="1:2" x14ac:dyDescent="0.35">
      <c r="A57" s="10" t="s">
        <v>108</v>
      </c>
      <c r="B57" s="1">
        <v>961259.45</v>
      </c>
    </row>
    <row r="58" spans="1:2" x14ac:dyDescent="0.35">
      <c r="A58" s="10" t="s">
        <v>236</v>
      </c>
      <c r="B58" s="1">
        <v>583541.19999999995</v>
      </c>
    </row>
    <row r="59" spans="1:2" x14ac:dyDescent="0.35">
      <c r="A59" s="10" t="s">
        <v>696</v>
      </c>
      <c r="B59" s="1">
        <v>262782.53999999998</v>
      </c>
    </row>
    <row r="60" spans="1:2" x14ac:dyDescent="0.35">
      <c r="A60" s="10" t="s">
        <v>234</v>
      </c>
      <c r="B60" s="1">
        <v>786040.17999999993</v>
      </c>
    </row>
    <row r="61" spans="1:2" x14ac:dyDescent="0.35">
      <c r="A61" s="10" t="s">
        <v>89</v>
      </c>
      <c r="B61" s="1">
        <v>361072.63</v>
      </c>
    </row>
    <row r="62" spans="1:2" x14ac:dyDescent="0.35">
      <c r="A62" s="10" t="s">
        <v>628</v>
      </c>
      <c r="B62" s="1">
        <v>50983.14</v>
      </c>
    </row>
    <row r="63" spans="1:2" x14ac:dyDescent="0.35">
      <c r="A63" s="10" t="s">
        <v>538</v>
      </c>
      <c r="B63" s="1">
        <v>3820.96</v>
      </c>
    </row>
    <row r="64" spans="1:2" x14ac:dyDescent="0.35">
      <c r="A64" s="10" t="s">
        <v>120</v>
      </c>
      <c r="B64" s="1">
        <v>1013827.5599999999</v>
      </c>
    </row>
    <row r="65" spans="1:2" x14ac:dyDescent="0.35">
      <c r="A65" s="10" t="s">
        <v>67</v>
      </c>
      <c r="B65" s="1">
        <v>120586.45999999999</v>
      </c>
    </row>
    <row r="66" spans="1:2" x14ac:dyDescent="0.35">
      <c r="A66" s="10" t="s">
        <v>282</v>
      </c>
      <c r="B66" s="1">
        <v>793543.38</v>
      </c>
    </row>
    <row r="67" spans="1:2" x14ac:dyDescent="0.35">
      <c r="A67" s="10" t="s">
        <v>221</v>
      </c>
      <c r="B67" s="1">
        <v>175706.53000000003</v>
      </c>
    </row>
    <row r="68" spans="1:2" x14ac:dyDescent="0.35">
      <c r="A68" s="10" t="s">
        <v>39</v>
      </c>
      <c r="B68" s="1">
        <v>235458.46999999997</v>
      </c>
    </row>
    <row r="69" spans="1:2" x14ac:dyDescent="0.35">
      <c r="A69" s="10" t="s">
        <v>245</v>
      </c>
      <c r="B69" s="1">
        <v>86158.47</v>
      </c>
    </row>
    <row r="70" spans="1:2" x14ac:dyDescent="0.35">
      <c r="A70" s="10" t="s">
        <v>275</v>
      </c>
      <c r="B70" s="1">
        <v>292737.73</v>
      </c>
    </row>
    <row r="71" spans="1:2" x14ac:dyDescent="0.35">
      <c r="A71" s="10" t="s">
        <v>541</v>
      </c>
      <c r="B71" s="1">
        <v>56985.94</v>
      </c>
    </row>
    <row r="72" spans="1:2" x14ac:dyDescent="0.35">
      <c r="A72" s="10" t="s">
        <v>363</v>
      </c>
      <c r="B72" s="1">
        <v>224678.37</v>
      </c>
    </row>
    <row r="73" spans="1:2" x14ac:dyDescent="0.35">
      <c r="A73" s="10" t="s">
        <v>126</v>
      </c>
      <c r="B73" s="1">
        <v>535756.17999999993</v>
      </c>
    </row>
    <row r="74" spans="1:2" x14ac:dyDescent="0.35">
      <c r="A74" s="10" t="s">
        <v>100</v>
      </c>
      <c r="B74" s="1">
        <v>47270.11</v>
      </c>
    </row>
    <row r="75" spans="1:2" x14ac:dyDescent="0.35">
      <c r="A75" s="10" t="s">
        <v>536</v>
      </c>
      <c r="B75" s="1">
        <v>323680.99</v>
      </c>
    </row>
    <row r="76" spans="1:2" x14ac:dyDescent="0.35">
      <c r="A76" s="10" t="s">
        <v>192</v>
      </c>
      <c r="B76" s="1">
        <v>320307.62</v>
      </c>
    </row>
    <row r="77" spans="1:2" x14ac:dyDescent="0.35">
      <c r="A77" s="10" t="s">
        <v>318</v>
      </c>
      <c r="B77" s="1">
        <v>4158.3</v>
      </c>
    </row>
    <row r="78" spans="1:2" x14ac:dyDescent="0.35">
      <c r="A78" s="10" t="s">
        <v>231</v>
      </c>
      <c r="B78" s="1">
        <v>10173.59</v>
      </c>
    </row>
    <row r="79" spans="1:2" x14ac:dyDescent="0.35">
      <c r="A79" s="10" t="s">
        <v>383</v>
      </c>
      <c r="B79" s="1">
        <v>227422.49</v>
      </c>
    </row>
    <row r="80" spans="1:2" x14ac:dyDescent="0.35">
      <c r="A80" s="10" t="s">
        <v>95</v>
      </c>
      <c r="B80" s="1">
        <v>125264.51999999999</v>
      </c>
    </row>
    <row r="81" spans="1:2" x14ac:dyDescent="0.35">
      <c r="A81" s="10" t="s">
        <v>26</v>
      </c>
      <c r="B81" s="1">
        <v>92502.8</v>
      </c>
    </row>
    <row r="82" spans="1:2" x14ac:dyDescent="0.35">
      <c r="A82" s="10" t="s">
        <v>423</v>
      </c>
      <c r="B82" s="1">
        <v>116716.59999999999</v>
      </c>
    </row>
    <row r="83" spans="1:2" x14ac:dyDescent="0.35">
      <c r="A83" s="10" t="s">
        <v>240</v>
      </c>
      <c r="B83" s="1">
        <v>9350.58</v>
      </c>
    </row>
    <row r="84" spans="1:2" x14ac:dyDescent="0.35">
      <c r="A84" s="10" t="s">
        <v>203</v>
      </c>
      <c r="B84" s="1">
        <v>79325.400000000009</v>
      </c>
    </row>
    <row r="85" spans="1:2" x14ac:dyDescent="0.35">
      <c r="A85" s="10" t="s">
        <v>79</v>
      </c>
      <c r="B85" s="1">
        <v>105848.84999999999</v>
      </c>
    </row>
    <row r="86" spans="1:2" x14ac:dyDescent="0.35">
      <c r="A86" s="10" t="s">
        <v>325</v>
      </c>
      <c r="B86" s="1">
        <v>291965.7</v>
      </c>
    </row>
    <row r="87" spans="1:2" x14ac:dyDescent="0.35">
      <c r="A87" s="10" t="s">
        <v>469</v>
      </c>
      <c r="B87" s="1">
        <v>268989.24</v>
      </c>
    </row>
    <row r="88" spans="1:2" x14ac:dyDescent="0.35">
      <c r="A88" s="10" t="s">
        <v>313</v>
      </c>
      <c r="B88" s="1">
        <v>210610.05</v>
      </c>
    </row>
    <row r="89" spans="1:2" x14ac:dyDescent="0.35">
      <c r="A89" s="10" t="s">
        <v>128</v>
      </c>
      <c r="B89" s="1">
        <v>601834.4</v>
      </c>
    </row>
    <row r="90" spans="1:2" x14ac:dyDescent="0.35">
      <c r="A90" s="10" t="s">
        <v>252</v>
      </c>
      <c r="B90" s="1">
        <v>42420.21</v>
      </c>
    </row>
    <row r="91" spans="1:2" x14ac:dyDescent="0.35">
      <c r="A91" s="10" t="s">
        <v>42</v>
      </c>
      <c r="B91" s="1">
        <v>339512.75999999995</v>
      </c>
    </row>
    <row r="92" spans="1:2" x14ac:dyDescent="0.35">
      <c r="A92" s="10" t="s">
        <v>136</v>
      </c>
      <c r="B92" s="1">
        <v>7129.5599999999995</v>
      </c>
    </row>
    <row r="93" spans="1:2" x14ac:dyDescent="0.35">
      <c r="A93" s="10" t="s">
        <v>257</v>
      </c>
      <c r="B93" s="1">
        <v>81462.430000000008</v>
      </c>
    </row>
    <row r="94" spans="1:2" x14ac:dyDescent="0.35">
      <c r="A94" s="10" t="s">
        <v>441</v>
      </c>
      <c r="B94" s="1">
        <v>90693.68</v>
      </c>
    </row>
    <row r="95" spans="1:2" x14ac:dyDescent="0.35">
      <c r="A95" s="10" t="s">
        <v>69</v>
      </c>
      <c r="B95" s="1">
        <v>490604.38</v>
      </c>
    </row>
    <row r="96" spans="1:2" x14ac:dyDescent="0.35">
      <c r="A96" s="10" t="s">
        <v>299</v>
      </c>
      <c r="B96" s="1">
        <v>63537.5</v>
      </c>
    </row>
    <row r="97" spans="1:2" x14ac:dyDescent="0.35">
      <c r="A97" s="10" t="s">
        <v>403</v>
      </c>
      <c r="B97" s="1">
        <v>547492.14</v>
      </c>
    </row>
    <row r="98" spans="1:2" x14ac:dyDescent="0.35">
      <c r="A98" s="10" t="s">
        <v>280</v>
      </c>
      <c r="B98" s="1">
        <v>276299.12</v>
      </c>
    </row>
    <row r="99" spans="1:2" x14ac:dyDescent="0.35">
      <c r="A99" s="10" t="s">
        <v>623</v>
      </c>
      <c r="B99" s="1">
        <v>293041.40000000002</v>
      </c>
    </row>
    <row r="100" spans="1:2" x14ac:dyDescent="0.35">
      <c r="A100" s="10" t="s">
        <v>393</v>
      </c>
      <c r="B100" s="1">
        <v>250832.28</v>
      </c>
    </row>
    <row r="101" spans="1:2" x14ac:dyDescent="0.35">
      <c r="A101" s="10" t="s">
        <v>288</v>
      </c>
      <c r="B101" s="1">
        <v>380318.43</v>
      </c>
    </row>
    <row r="102" spans="1:2" x14ac:dyDescent="0.35">
      <c r="A102" s="10" t="s">
        <v>199</v>
      </c>
      <c r="B102" s="1">
        <v>266486.56</v>
      </c>
    </row>
    <row r="103" spans="1:2" x14ac:dyDescent="0.35">
      <c r="A103" s="10" t="s">
        <v>65</v>
      </c>
      <c r="B103" s="1">
        <v>412268.16999999993</v>
      </c>
    </row>
    <row r="104" spans="1:2" x14ac:dyDescent="0.35">
      <c r="A104" s="10" t="s">
        <v>284</v>
      </c>
      <c r="B104" s="1">
        <v>111959.66</v>
      </c>
    </row>
    <row r="105" spans="1:2" x14ac:dyDescent="0.35">
      <c r="A105" s="10" t="s">
        <v>367</v>
      </c>
      <c r="B105" s="1">
        <v>543378.55000000005</v>
      </c>
    </row>
    <row r="106" spans="1:2" x14ac:dyDescent="0.35">
      <c r="A106" s="10" t="s">
        <v>16</v>
      </c>
      <c r="B106" s="1">
        <v>251884.08</v>
      </c>
    </row>
    <row r="107" spans="1:2" x14ac:dyDescent="0.35">
      <c r="A107" s="10" t="s">
        <v>170</v>
      </c>
      <c r="B107" s="1">
        <v>251410.31</v>
      </c>
    </row>
    <row r="108" spans="1:2" x14ac:dyDescent="0.35">
      <c r="A108" s="10" t="s">
        <v>338</v>
      </c>
      <c r="B108" s="1">
        <v>700410.94</v>
      </c>
    </row>
    <row r="109" spans="1:2" x14ac:dyDescent="0.35">
      <c r="A109" s="10" t="s">
        <v>444</v>
      </c>
      <c r="B109" s="1">
        <v>7756.46</v>
      </c>
    </row>
    <row r="110" spans="1:2" x14ac:dyDescent="0.35">
      <c r="A110" s="10" t="s">
        <v>226</v>
      </c>
      <c r="B110" s="1">
        <v>253342.91</v>
      </c>
    </row>
    <row r="111" spans="1:2" x14ac:dyDescent="0.35">
      <c r="A111" s="10" t="s">
        <v>370</v>
      </c>
      <c r="B111" s="1">
        <v>559276.19999999995</v>
      </c>
    </row>
    <row r="112" spans="1:2" x14ac:dyDescent="0.35">
      <c r="A112" s="10" t="s">
        <v>179</v>
      </c>
      <c r="B112" s="1">
        <v>62928.31</v>
      </c>
    </row>
    <row r="113" spans="1:2" x14ac:dyDescent="0.35">
      <c r="A113" s="10" t="s">
        <v>248</v>
      </c>
      <c r="B113" s="1">
        <v>34615.96</v>
      </c>
    </row>
    <row r="114" spans="1:2" x14ac:dyDescent="0.35">
      <c r="A114" s="10" t="s">
        <v>390</v>
      </c>
      <c r="B114" s="1">
        <v>673502.78</v>
      </c>
    </row>
    <row r="115" spans="1:2" x14ac:dyDescent="0.35">
      <c r="A115" s="10" t="s">
        <v>223</v>
      </c>
      <c r="B115" s="1">
        <v>852562.24</v>
      </c>
    </row>
    <row r="116" spans="1:2" x14ac:dyDescent="0.35">
      <c r="A116" s="10" t="s">
        <v>238</v>
      </c>
      <c r="B116" s="1">
        <v>426062.7</v>
      </c>
    </row>
    <row r="117" spans="1:2" x14ac:dyDescent="0.35">
      <c r="A117" s="10" t="s">
        <v>551</v>
      </c>
      <c r="B117" s="1">
        <v>112300.44</v>
      </c>
    </row>
    <row r="118" spans="1:2" x14ac:dyDescent="0.35">
      <c r="A118" s="10" t="s">
        <v>272</v>
      </c>
      <c r="B118" s="1">
        <v>225131.22</v>
      </c>
    </row>
    <row r="119" spans="1:2" x14ac:dyDescent="0.35">
      <c r="A119" s="10" t="s">
        <v>63</v>
      </c>
      <c r="B119" s="1">
        <v>177517.14</v>
      </c>
    </row>
    <row r="120" spans="1:2" x14ac:dyDescent="0.35">
      <c r="A120" s="10" t="s">
        <v>57</v>
      </c>
      <c r="B120" s="1">
        <v>130477.08</v>
      </c>
    </row>
    <row r="121" spans="1:2" x14ac:dyDescent="0.35">
      <c r="A121" s="10" t="s">
        <v>242</v>
      </c>
      <c r="B121" s="1">
        <v>348424.11</v>
      </c>
    </row>
    <row r="122" spans="1:2" x14ac:dyDescent="0.35">
      <c r="A122" s="10" t="s">
        <v>87</v>
      </c>
      <c r="B122" s="1">
        <v>98967.22</v>
      </c>
    </row>
    <row r="123" spans="1:2" x14ac:dyDescent="0.35">
      <c r="A123" s="10" t="s">
        <v>210</v>
      </c>
      <c r="B123" s="1">
        <v>336537.65</v>
      </c>
    </row>
    <row r="124" spans="1:2" x14ac:dyDescent="0.35">
      <c r="A124" s="10" t="s">
        <v>328</v>
      </c>
      <c r="B124" s="1">
        <v>15853.100000000002</v>
      </c>
    </row>
    <row r="125" spans="1:2" x14ac:dyDescent="0.35">
      <c r="A125" s="10" t="s">
        <v>172</v>
      </c>
      <c r="B125" s="1">
        <v>4362</v>
      </c>
    </row>
    <row r="126" spans="1:2" x14ac:dyDescent="0.35">
      <c r="A126" s="10" t="s">
        <v>91</v>
      </c>
      <c r="B126" s="1">
        <v>288133.60000000003</v>
      </c>
    </row>
    <row r="127" spans="1:2" x14ac:dyDescent="0.35">
      <c r="A127" s="10" t="s">
        <v>73</v>
      </c>
      <c r="B127" s="1">
        <v>392688.24</v>
      </c>
    </row>
    <row r="128" spans="1:2" x14ac:dyDescent="0.35">
      <c r="A128" s="10" t="s">
        <v>212</v>
      </c>
      <c r="B128" s="1">
        <v>528398.74</v>
      </c>
    </row>
    <row r="129" spans="1:2" x14ac:dyDescent="0.35">
      <c r="A129" s="10" t="s">
        <v>196</v>
      </c>
      <c r="B129" s="1">
        <v>282894.78000000003</v>
      </c>
    </row>
    <row r="130" spans="1:2" x14ac:dyDescent="0.35">
      <c r="A130" s="10" t="s">
        <v>181</v>
      </c>
      <c r="B130" s="1">
        <v>225241.56</v>
      </c>
    </row>
    <row r="131" spans="1:2" x14ac:dyDescent="0.35">
      <c r="A131" s="10" t="s">
        <v>294</v>
      </c>
      <c r="B131" s="1">
        <v>164694.41999999998</v>
      </c>
    </row>
    <row r="132" spans="1:2" x14ac:dyDescent="0.35">
      <c r="A132" s="10" t="s">
        <v>670</v>
      </c>
      <c r="B132" s="1">
        <v>7483.35</v>
      </c>
    </row>
    <row r="133" spans="1:2" x14ac:dyDescent="0.35">
      <c r="A133" s="10" t="s">
        <v>102</v>
      </c>
      <c r="B133" s="1">
        <v>374657.28000000003</v>
      </c>
    </row>
    <row r="134" spans="1:2" x14ac:dyDescent="0.35">
      <c r="A134" s="10" t="s">
        <v>633</v>
      </c>
      <c r="B134" s="1">
        <v>259113.21</v>
      </c>
    </row>
    <row r="135" spans="1:2" x14ac:dyDescent="0.35">
      <c r="A135" s="10" t="s">
        <v>31</v>
      </c>
      <c r="B135" s="1">
        <v>349654.21</v>
      </c>
    </row>
    <row r="136" spans="1:2" x14ac:dyDescent="0.35">
      <c r="A136" s="10" t="s">
        <v>270</v>
      </c>
      <c r="B136" s="1">
        <v>76072.990000000005</v>
      </c>
    </row>
    <row r="137" spans="1:2" x14ac:dyDescent="0.35">
      <c r="A137" s="10" t="s">
        <v>485</v>
      </c>
      <c r="B137" s="1">
        <v>123651.92</v>
      </c>
    </row>
    <row r="138" spans="1:2" x14ac:dyDescent="0.35">
      <c r="A138" s="10" t="s">
        <v>133</v>
      </c>
      <c r="B138" s="1">
        <v>227052.72</v>
      </c>
    </row>
    <row r="139" spans="1:2" x14ac:dyDescent="0.35">
      <c r="A139" s="10" t="s">
        <v>372</v>
      </c>
      <c r="B139" s="1">
        <v>266345.78000000003</v>
      </c>
    </row>
    <row r="140" spans="1:2" x14ac:dyDescent="0.35">
      <c r="A140" s="10" t="s">
        <v>265</v>
      </c>
      <c r="B140" s="1">
        <v>360579.52</v>
      </c>
    </row>
    <row r="141" spans="1:2" x14ac:dyDescent="0.35">
      <c r="A141" s="10" t="s">
        <v>459</v>
      </c>
      <c r="B141" s="1">
        <v>49016.12</v>
      </c>
    </row>
    <row r="142" spans="1:2" x14ac:dyDescent="0.35">
      <c r="A142" s="10" t="s">
        <v>146</v>
      </c>
      <c r="B142" s="1">
        <v>778216.76</v>
      </c>
    </row>
    <row r="143" spans="1:2" x14ac:dyDescent="0.35">
      <c r="A143" s="10" t="s">
        <v>201</v>
      </c>
      <c r="B143" s="1">
        <v>614998.1</v>
      </c>
    </row>
    <row r="144" spans="1:2" x14ac:dyDescent="0.35">
      <c r="A144" s="10" t="s">
        <v>166</v>
      </c>
      <c r="B144" s="1">
        <v>182017.22999999998</v>
      </c>
    </row>
    <row r="145" spans="1:2" x14ac:dyDescent="0.35">
      <c r="A145" s="10" t="s">
        <v>595</v>
      </c>
      <c r="B145" s="1">
        <v>281929.63</v>
      </c>
    </row>
    <row r="146" spans="1:2" x14ac:dyDescent="0.35">
      <c r="A146" s="10" t="s">
        <v>524</v>
      </c>
      <c r="B146" s="1">
        <v>272383.65000000002</v>
      </c>
    </row>
    <row r="147" spans="1:2" x14ac:dyDescent="0.35">
      <c r="A147" s="10" t="s">
        <v>175</v>
      </c>
      <c r="B147" s="1">
        <v>32305.42</v>
      </c>
    </row>
    <row r="148" spans="1:2" x14ac:dyDescent="0.35">
      <c r="A148" s="10" t="s">
        <v>22</v>
      </c>
      <c r="B148" s="1">
        <v>120293.75</v>
      </c>
    </row>
    <row r="149" spans="1:2" x14ac:dyDescent="0.35">
      <c r="A149" s="10" t="s">
        <v>46</v>
      </c>
      <c r="B149" s="1">
        <v>567525.07000000007</v>
      </c>
    </row>
    <row r="150" spans="1:2" x14ac:dyDescent="0.35">
      <c r="A150" s="10" t="s">
        <v>188</v>
      </c>
      <c r="B150" s="1">
        <v>696116.01</v>
      </c>
    </row>
    <row r="151" spans="1:2" x14ac:dyDescent="0.35">
      <c r="A151" s="10" t="s">
        <v>194</v>
      </c>
      <c r="B151" s="1">
        <v>302527.64</v>
      </c>
    </row>
    <row r="152" spans="1:2" x14ac:dyDescent="0.35">
      <c r="A152" s="10" t="s">
        <v>448</v>
      </c>
      <c r="B152" s="1">
        <v>237240.48</v>
      </c>
    </row>
    <row r="153" spans="1:2" x14ac:dyDescent="0.35">
      <c r="A153" s="10" t="s">
        <v>33</v>
      </c>
      <c r="B153" s="1">
        <v>581120.73</v>
      </c>
    </row>
    <row r="154" spans="1:2" x14ac:dyDescent="0.35">
      <c r="A154" s="10" t="s">
        <v>110</v>
      </c>
      <c r="B154" s="1">
        <v>127797.95</v>
      </c>
    </row>
    <row r="155" spans="1:2" x14ac:dyDescent="0.35">
      <c r="A155" s="10" t="s">
        <v>354</v>
      </c>
      <c r="B155" s="1">
        <v>400189.89999999997</v>
      </c>
    </row>
    <row r="156" spans="1:2" x14ac:dyDescent="0.35">
      <c r="A156" s="10" t="s">
        <v>305</v>
      </c>
      <c r="B156" s="1">
        <v>254425.66</v>
      </c>
    </row>
    <row r="157" spans="1:2" x14ac:dyDescent="0.35">
      <c r="A157" s="10" t="s">
        <v>93</v>
      </c>
      <c r="B157" s="1">
        <v>470778.95999999996</v>
      </c>
    </row>
    <row r="158" spans="1:2" x14ac:dyDescent="0.35">
      <c r="A158" s="10" t="s">
        <v>122</v>
      </c>
      <c r="B158" s="1">
        <v>221722.88</v>
      </c>
    </row>
    <row r="159" spans="1:2" x14ac:dyDescent="0.35">
      <c r="A159" s="10" t="s">
        <v>52</v>
      </c>
      <c r="B159" s="1">
        <v>982068.94000000006</v>
      </c>
    </row>
    <row r="160" spans="1:2" x14ac:dyDescent="0.35">
      <c r="A160" s="10" t="s">
        <v>44</v>
      </c>
      <c r="B160" s="1">
        <v>422346.68</v>
      </c>
    </row>
    <row r="161" spans="1:2" x14ac:dyDescent="0.35">
      <c r="A161" s="10" t="s">
        <v>150</v>
      </c>
      <c r="B161" s="1">
        <v>663108.02</v>
      </c>
    </row>
    <row r="162" spans="1:2" x14ac:dyDescent="0.35">
      <c r="A162" s="10" t="s">
        <v>215</v>
      </c>
      <c r="B162" s="1">
        <v>269316.27</v>
      </c>
    </row>
    <row r="163" spans="1:2" x14ac:dyDescent="0.35">
      <c r="A163" s="10" t="s">
        <v>75</v>
      </c>
      <c r="B163" s="1">
        <v>179245.59000000003</v>
      </c>
    </row>
    <row r="164" spans="1:2" x14ac:dyDescent="0.35">
      <c r="A164" s="10" t="s">
        <v>290</v>
      </c>
      <c r="B164" s="1">
        <v>206915.11</v>
      </c>
    </row>
    <row r="165" spans="1:2" x14ac:dyDescent="0.35">
      <c r="A165" s="10" t="s">
        <v>345</v>
      </c>
      <c r="B165" s="1">
        <v>381619.89999999997</v>
      </c>
    </row>
    <row r="166" spans="1:2" x14ac:dyDescent="0.35">
      <c r="A166" s="10" t="s">
        <v>604</v>
      </c>
      <c r="B166" s="1">
        <v>45356.480000000003</v>
      </c>
    </row>
    <row r="167" spans="1:2" x14ac:dyDescent="0.35">
      <c r="A167" s="10" t="s">
        <v>250</v>
      </c>
      <c r="B167" s="1">
        <v>578969.93999999994</v>
      </c>
    </row>
    <row r="168" spans="1:2" x14ac:dyDescent="0.35">
      <c r="A168" s="10" t="s">
        <v>183</v>
      </c>
      <c r="B168" s="1">
        <v>12250</v>
      </c>
    </row>
    <row r="169" spans="1:2" x14ac:dyDescent="0.35">
      <c r="A169" s="10" t="s">
        <v>340</v>
      </c>
      <c r="B169" s="1">
        <v>144842.81</v>
      </c>
    </row>
    <row r="170" spans="1:2" x14ac:dyDescent="0.35">
      <c r="A170" s="10" t="s">
        <v>164</v>
      </c>
      <c r="B170" s="1">
        <v>577025.93999999994</v>
      </c>
    </row>
    <row r="171" spans="1:2" x14ac:dyDescent="0.35">
      <c r="A171" s="10" t="s">
        <v>157</v>
      </c>
      <c r="B171" s="1">
        <v>8499.6</v>
      </c>
    </row>
    <row r="172" spans="1:2" x14ac:dyDescent="0.35">
      <c r="A172" s="10" t="s">
        <v>144</v>
      </c>
      <c r="B172" s="1">
        <v>128106.1</v>
      </c>
    </row>
    <row r="173" spans="1:2" x14ac:dyDescent="0.35">
      <c r="A173" s="10" t="s">
        <v>411</v>
      </c>
      <c r="B173" s="1">
        <v>225665.54000000004</v>
      </c>
    </row>
    <row r="174" spans="1:2" x14ac:dyDescent="0.35">
      <c r="A174" s="10" t="s">
        <v>333</v>
      </c>
      <c r="B174" s="1">
        <v>231536.16</v>
      </c>
    </row>
    <row r="175" spans="1:2" x14ac:dyDescent="0.35">
      <c r="A175" s="10" t="s">
        <v>83</v>
      </c>
      <c r="B175" s="1">
        <v>315317.20999999996</v>
      </c>
    </row>
    <row r="176" spans="1:2" x14ac:dyDescent="0.35">
      <c r="A176" s="10" t="s">
        <v>320</v>
      </c>
      <c r="B176" s="1">
        <v>153000.78999999998</v>
      </c>
    </row>
    <row r="177" spans="1:2" x14ac:dyDescent="0.35">
      <c r="A177" s="10" t="s">
        <v>218</v>
      </c>
      <c r="B177" s="1">
        <v>1209220.1599999999</v>
      </c>
    </row>
    <row r="178" spans="1:2" x14ac:dyDescent="0.35">
      <c r="A178" s="10" t="s">
        <v>37</v>
      </c>
      <c r="B178" s="1">
        <v>452508.7</v>
      </c>
    </row>
    <row r="179" spans="1:2" x14ac:dyDescent="0.35">
      <c r="A179" s="10" t="s">
        <v>451</v>
      </c>
      <c r="B179" s="1">
        <v>393105.56</v>
      </c>
    </row>
    <row r="180" spans="1:2" x14ac:dyDescent="0.35">
      <c r="A180" s="10" t="s">
        <v>117</v>
      </c>
      <c r="B180" s="1">
        <v>328900.88</v>
      </c>
    </row>
    <row r="181" spans="1:2" x14ac:dyDescent="0.35">
      <c r="A181" s="10" t="s">
        <v>652</v>
      </c>
      <c r="B181" s="1">
        <v>61702.74</v>
      </c>
    </row>
    <row r="182" spans="1:2" x14ac:dyDescent="0.35">
      <c r="A182" s="10" t="s">
        <v>375</v>
      </c>
      <c r="B182" s="1">
        <v>474546.42</v>
      </c>
    </row>
    <row r="183" spans="1:2" x14ac:dyDescent="0.35">
      <c r="A183" s="10" t="s">
        <v>124</v>
      </c>
      <c r="B183" s="1">
        <v>193951.28</v>
      </c>
    </row>
    <row r="184" spans="1:2" x14ac:dyDescent="0.35">
      <c r="A184" s="10" t="s">
        <v>399</v>
      </c>
      <c r="B184" s="1">
        <v>80169.649999999994</v>
      </c>
    </row>
    <row r="185" spans="1:2" x14ac:dyDescent="0.35">
      <c r="A185" s="10" t="s">
        <v>10</v>
      </c>
      <c r="B185" s="1">
        <v>743843.75</v>
      </c>
    </row>
    <row r="186" spans="1:2" x14ac:dyDescent="0.35">
      <c r="A186" s="10" t="s">
        <v>490</v>
      </c>
      <c r="B186" s="1">
        <v>151610.28</v>
      </c>
    </row>
    <row r="187" spans="1:2" x14ac:dyDescent="0.35">
      <c r="A187" s="10" t="s">
        <v>511</v>
      </c>
      <c r="B187" s="1">
        <v>50482.14</v>
      </c>
    </row>
    <row r="188" spans="1:2" x14ac:dyDescent="0.35">
      <c r="A188" s="10" t="s">
        <v>323</v>
      </c>
      <c r="B188" s="1">
        <v>40349.620000000003</v>
      </c>
    </row>
    <row r="189" spans="1:2" x14ac:dyDescent="0.35">
      <c r="A189" s="10" t="s">
        <v>54</v>
      </c>
      <c r="B189" s="1">
        <v>274156.65000000002</v>
      </c>
    </row>
    <row r="190" spans="1:2" x14ac:dyDescent="0.35">
      <c r="A190" s="9" t="s">
        <v>704</v>
      </c>
      <c r="B190" s="1">
        <v>55375962.870000005</v>
      </c>
    </row>
  </sheetData>
  <mergeCells count="4">
    <mergeCell ref="A2:B2"/>
    <mergeCell ref="E2:F2"/>
    <mergeCell ref="A14:B14"/>
    <mergeCell ref="E14:F14"/>
  </mergeCells>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9E49A-0773-48C1-A0EC-FE659641C3C1}">
  <dimension ref="A1:Q5"/>
  <sheetViews>
    <sheetView showGridLines="0" tabSelected="1" zoomScale="38" workbookViewId="0">
      <selection activeCell="W6" sqref="W6"/>
    </sheetView>
  </sheetViews>
  <sheetFormatPr defaultRowHeight="14.5" x14ac:dyDescent="0.35"/>
  <cols>
    <col min="1" max="1" width="14.26953125" style="12" bestFit="1" customWidth="1"/>
    <col min="2" max="2" width="8.7265625" style="12"/>
    <col min="3" max="3" width="26.08984375" style="12" bestFit="1" customWidth="1"/>
    <col min="4" max="8" width="8.7265625" style="12"/>
    <col min="9" max="9" width="15.54296875" style="12" bestFit="1" customWidth="1"/>
    <col min="10" max="15" width="8.7265625" style="12"/>
    <col min="16" max="16" width="14.26953125" style="12" customWidth="1"/>
    <col min="17" max="17" width="3.6328125" style="12" customWidth="1"/>
    <col min="18" max="16384" width="8.7265625" style="12"/>
  </cols>
  <sheetData>
    <row r="1" spans="1:17" ht="14.5" customHeight="1" x14ac:dyDescent="0.35">
      <c r="A1" s="13" t="s">
        <v>714</v>
      </c>
      <c r="B1" s="13"/>
      <c r="C1" s="13"/>
      <c r="D1" s="13"/>
      <c r="E1" s="13"/>
      <c r="F1" s="13"/>
      <c r="G1" s="13"/>
      <c r="H1" s="13"/>
      <c r="I1" s="13"/>
      <c r="J1" s="13"/>
      <c r="K1" s="13"/>
      <c r="L1" s="13"/>
      <c r="M1" s="13"/>
      <c r="N1" s="13"/>
      <c r="O1" s="13"/>
      <c r="P1" s="13"/>
      <c r="Q1" s="13"/>
    </row>
    <row r="2" spans="1:17" ht="58.5" customHeight="1" x14ac:dyDescent="0.35">
      <c r="A2" s="13"/>
      <c r="B2" s="13"/>
      <c r="C2" s="13"/>
      <c r="D2" s="13"/>
      <c r="E2" s="13"/>
      <c r="F2" s="13"/>
      <c r="G2" s="13"/>
      <c r="H2" s="13"/>
      <c r="I2" s="13"/>
      <c r="J2" s="13"/>
      <c r="K2" s="13"/>
      <c r="L2" s="13"/>
      <c r="M2" s="13"/>
      <c r="N2" s="13"/>
      <c r="O2" s="13"/>
      <c r="P2" s="13"/>
      <c r="Q2" s="13"/>
    </row>
    <row r="4" spans="1:17" ht="26" x14ac:dyDescent="0.6">
      <c r="A4" s="14" t="s">
        <v>713</v>
      </c>
      <c r="C4" s="15" t="s">
        <v>712</v>
      </c>
      <c r="E4"/>
    </row>
    <row r="5" spans="1:17" ht="26" x14ac:dyDescent="0.6">
      <c r="A5" s="15">
        <f>COUNTA(Table1[Order ID])</f>
        <v>500</v>
      </c>
      <c r="C5" s="16">
        <f>SUM(Table1[Total Sales])</f>
        <v>55375962.86999999</v>
      </c>
    </row>
  </sheetData>
  <mergeCells count="1">
    <mergeCell ref="A1:Q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Sales_Data</vt:lpstr>
      <vt:lpstr>Pivot_Summary</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anisha k</cp:lastModifiedBy>
  <dcterms:created xsi:type="dcterms:W3CDTF">2026-03-03T13:52:42Z</dcterms:created>
  <dcterms:modified xsi:type="dcterms:W3CDTF">2026-03-04T14:06:00Z</dcterms:modified>
</cp:coreProperties>
</file>